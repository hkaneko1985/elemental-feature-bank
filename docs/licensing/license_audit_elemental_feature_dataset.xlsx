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25af5a5e634b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6feed1051fbf4bd3"/>
    <x:sheet xmlns:r="http://schemas.openxmlformats.org/officeDocument/2006/relationships" name="Source Audit" sheetId="2" r:id="Rfa1adc73a6a14a3c"/>
    <x:sheet xmlns:r="http://schemas.openxmlformats.org/officeDocument/2006/relationships" name="Block Mapping" sheetId="3" r:id="R9e5adb0a6f944614"/>
    <x:sheet xmlns:r="http://schemas.openxmlformats.org/officeDocument/2006/relationships" name="Action Register" sheetId="4" r:id="Rf626673ec93d48a7"/>
    <x:sheet xmlns:r="http://schemas.openxmlformats.org/officeDocument/2006/relationships" name="Decision Rules" sheetId="5" r:id="R23c093892fb94e0e"/>
    <x:sheet xmlns:r="http://schemas.openxmlformats.org/officeDocument/2006/relationships" name="Evidence Index" sheetId="6" r:id="Rdae3c37b99ef40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1B7F79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CC0000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5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FFFFFF"/>
      </x:font>
      <x:fill>
        <x:patternFill patternType="solid">
          <x:bgColor rgb="FFCC0000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FFFFFF"/>
      </x:font>
      <x:fill>
        <x:patternFill patternType="solid">
          <x:bgColor rgb="FFCC0000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016eb0c0094bf0" /><Relationship Type="http://schemas.openxmlformats.org/officeDocument/2006/relationships/theme" Target="/xl/theme/theme1.xml" Id="R1ca2640307494d05" /><Relationship Type="http://schemas.openxmlformats.org/officeDocument/2006/relationships/sharedStrings" Target="/xl/sharedStrings.xml" Id="R434a282ab73d400b" /><Relationship Type="http://schemas.openxmlformats.org/officeDocument/2006/relationships/worksheet" Target="/xl/worksheets/sheet1.xml" Id="R6feed1051fbf4bd3" /><Relationship Type="http://schemas.openxmlformats.org/officeDocument/2006/relationships/worksheet" Target="/xl/worksheets/sheet2.xml" Id="Rfa1adc73a6a14a3c" /><Relationship Type="http://schemas.openxmlformats.org/officeDocument/2006/relationships/worksheet" Target="/xl/worksheets/sheet3.xml" Id="R9e5adb0a6f944614" /><Relationship Type="http://schemas.openxmlformats.org/officeDocument/2006/relationships/worksheet" Target="/xl/worksheets/sheet4.xml" Id="Rf626673ec93d48a7" /><Relationship Type="http://schemas.openxmlformats.org/officeDocument/2006/relationships/worksheet" Target="/xl/worksheets/sheet5.xml" Id="R23c093892fb94e0e" /><Relationship Type="http://schemas.openxmlformats.org/officeDocument/2006/relationships/worksheet" Target="/xl/worksheets/sheet6.xml" Id="Rdae3c37b99ef4057" /></Relationships>
</file>

<file path=xl/tables/table1.xml><?xml version="1.0" encoding="utf-8"?>
<x:table xmlns:x="http://schemas.openxmlformats.org/spreadsheetml/2006/main" id="1" name="SourceAuditTable" displayName="SourceAuditTable" ref="A1:T45" headerRowCount="1">
  <x:tableColumns count="20">
    <x:tableColumn id="1" name="Audit ID"/>
    <x:tableColumn id="2" name="Source ID"/>
    <x:tableColumn id="3" name="Dataset partition"/>
    <x:tableColumn id="4" name="Feature block(s)"/>
    <x:tableColumn id="5" name="Feature count"/>
    <x:tableColumn id="6" name="Source / representation"/>
    <x:tableColumn id="7" name="Version / release used"/>
    <x:tableColumn id="8" name="Software / package licence"/>
    <x:tableColumn id="9" name="Exact data / model asset licence"/>
    <x:tableColumn id="10" name="Licence evidence URL"/>
    <x:tableColumn id="11" name="Release status"/>
    <x:tableColumn id="12" name="Confidence"/>
    <x:tableColumn id="13" name="Required obligations"/>
    <x:tableColumn id="14" name="Known ambiguity / risk"/>
    <x:tableColumn id="15" name="Recommended GitHub action"/>
    <x:tableColumn id="16" name="Recommended citation"/>
    <x:tableColumn id="17" name="Source URL"/>
    <x:tableColumn id="18" name="Retrieval date"/>
    <x:tableColumn id="19" name="Owner"/>
    <x:tableColumn id="20" name="Action status"/>
  </x:tableColumns>
  <x:tableStyleInfo name="TableStyleMedium2" showRowStripes="1"/>
</x:table>
</file>

<file path=xl/tables/table2.xml><?xml version="1.0" encoding="utf-8"?>
<x:table xmlns:x="http://schemas.openxmlformats.org/spreadsheetml/2006/main" id="2" name="BlockMappingTable" displayName="BlockMappingTable" ref="A1:L48" headerRowCount="1">
  <x:tableColumns count="12">
    <x:tableColumn id="1" name="Feature block"/>
    <x:tableColumn id="2" name="Source ID"/>
    <x:tableColumn id="3" name="Source"/>
    <x:tableColumn id="4" name="Version"/>
    <x:tableColumn id="5" name="Interpretable features"/>
    <x:tableColumn id="6" name="Other features"/>
    <x:tableColumn id="7" name="Total"/>
    <x:tableColumn id="8" name="Tier(s)"/>
    <x:tableColumn id="9" name="Coverage min (elements)"/>
    <x:tableColumn id="10" name="Coverage mean (elements)"/>
    <x:tableColumn id="11" name="Coverage max (elements)"/>
    <x:tableColumn id="12" name="Release status"/>
  </x:tableColumns>
  <x:tableStyleInfo name="TableStyleMedium2" showRowStripes="1"/>
</x:table>
</file>

<file path=xl/tables/table3.xml><?xml version="1.0" encoding="utf-8"?>
<x:table xmlns:x="http://schemas.openxmlformats.org/spreadsheetml/2006/main" id="3" name="ActionRegisterTable" displayName="ActionRegisterTable" ref="A1:I11" headerRowCount="1">
  <x:tableColumns count="9">
    <x:tableColumn id="1" name="Action ID"/>
    <x:tableColumn id="2" name="Priority"/>
    <x:tableColumn id="3" name="Gate"/>
    <x:tableColumn id="4" name="Action"/>
    <x:tableColumn id="5" name="Applies to"/>
    <x:tableColumn id="6" name="Evidence of completion"/>
    <x:tableColumn id="7" name="Owner"/>
    <x:tableColumn id="8" name="Target date"/>
    <x:tableColumn id="9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EvidenceIndexTable" displayName="EvidenceIndexTable" ref="A1:H45" headerRowCount="1">
  <x:tableColumns count="8">
    <x:tableColumn id="1" name="Evidence ID"/>
    <x:tableColumn id="2" name="Source ID"/>
    <x:tableColumn id="3" name="Evidence type"/>
    <x:tableColumn id="4" name="URL"/>
    <x:tableColumn id="5" name="Expected local archive path"/>
    <x:tableColumn id="6" name="Retrieved"/>
    <x:tableColumn id="7" name="SHA-256"/>
    <x:tableColumn id="8" name="Reviewer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ac52f6ed1445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6866c7d9c04e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7f80e886c54f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196b2ca8cc2425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52" hidden="0" customWidth="1"/>
    <x:col min="4" max="4" width="15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</x:cols>
  <x:sheetData>
    <x:row r="1" ht="30" customHeight="1">
      <x:c r="A1" s="4" t="str">
        <x:v>Licence audit for the elemental feature dataset</x:v>
      </x:c>
      <x:c r="B1" s="4"/>
      <x:c r="C1" s="4"/>
      <x:c r="D1" s="4"/>
      <x:c r="E1" s="4"/>
      <x:c r="F1" s="4"/>
      <x:c r="G1" s="4"/>
      <x:c r="H1" s="4"/>
    </x:row>
    <x:row r="2" ht="30" customHeight="1">
      <x:c r="A2" s="4"/>
      <x:c r="B2" s="4"/>
      <x:c r="C2" s="4"/>
      <x:c r="D2" s="4"/>
      <x:c r="E2" s="4"/>
      <x:c r="F2" s="4"/>
      <x:c r="G2" s="4"/>
      <x:c r="H2" s="4"/>
    </x:row>
    <x:row r="3" ht="38" customHeight="1">
      <x:c r="A3" s="11" t="str">
        <x:v>Scope: element_data_interpretable.csv (1,609 features) and element_data_others.csv (3,591 features) | Audit date: 2026-07-17 | This is research-data due diligence, not legal advice.</x:v>
      </x:c>
      <x:c r="B3" s="11"/>
      <x:c r="C3" s="11"/>
      <x:c r="D3" s="11"/>
      <x:c r="E3" s="11"/>
      <x:c r="F3" s="11"/>
      <x:c r="G3" s="11"/>
      <x:c r="H3" s="11"/>
    </x:row>
    <x:row r="4" ht="18" customHeight="1"/>
    <x:row r="5" ht="30" customHeight="1">
      <x:c r="A5" s="19" t="str">
        <x:v>Metric</x:v>
      </x:c>
      <x:c r="B5" s="19" t="str">
        <x:v>Value</x:v>
      </x:c>
      <x:c r="D5" s="19" t="str">
        <x:v>Status</x:v>
      </x:c>
      <x:c r="E5" s="19" t="str">
        <x:v>Source count</x:v>
      </x:c>
      <x:c r="F5" s="19" t="str">
        <x:v>Meaning</x:v>
      </x:c>
    </x:row>
    <x:row r="6" ht="30" customHeight="1">
      <x:c r="A6" s="26" t="str">
        <x:v>Source-registry entries</x:v>
      </x:c>
      <x:c r="B6" s="26" t="n">
        <x:v>44</x:v>
      </x:c>
      <x:c r="D6" s="26" t="str">
        <x:v>GREEN</x:v>
      </x:c>
      <x:c r="E6" s="26" t="n">
        <x:f>COUNTIF('Source Audit'!$K:$K,D6)</x:f>
        <x:v>26</x:v>
      </x:c>
      <x:c r="F6" s="26" t="str">
        <x:v>Explicit permission/licence located; implement attribution/notice obligations.</x:v>
      </x:c>
    </x:row>
    <x:row r="7" ht="30" customHeight="1">
      <x:c r="A7" s="26" t="str">
        <x:v>Feature blocks</x:v>
      </x:c>
      <x:c r="B7" s="26" t="n">
        <x:v>47</x:v>
      </x:c>
      <x:c r="D7" s="26" t="str">
        <x:v>AMBER</x:v>
      </x:c>
      <x:c r="E7" s="26" t="n">
        <x:f>COUNTIF('Source Audit'!$K:$K,D7)</x:f>
        <x:v>13</x:v>
      </x:c>
      <x:c r="F7" s="26" t="str">
        <x:v>Likely publishable only after exact asset/version evidence and listed obligations are closed.</x:v>
      </x:c>
    </x:row>
    <x:row r="8" ht="30" customHeight="1">
      <x:c r="A8" s="26" t="str">
        <x:v>Released feature columns</x:v>
      </x:c>
      <x:c r="B8" s="26" t="n">
        <x:v>5200</x:v>
      </x:c>
      <x:c r="D8" s="26" t="str">
        <x:v>HOLD</x:v>
      </x:c>
      <x:c r="E8" s="26" t="n">
        <x:f>COUNTIF('Source Audit'!$K:$K,D8)</x:f>
        <x:v>5</x:v>
      </x:c>
      <x:c r="F8" s="26" t="str">
        <x:v>Do not redistribute values until explicit permission/licence is documented; use script-only or exclude.</x:v>
      </x:c>
    </x:row>
    <x:row r="9" ht="30" customHeight="1">
      <x:c r="A9" s="26" t="str">
        <x:v>Unresolved release gate</x:v>
      </x:c>
      <x:c r="B9" s="26" t="str">
        <x:v>All HOLD sources must be cleared or excluded</x:v>
      </x:c>
      <x:c r="D9" s="26" t="str">
        <x:v>RED</x:v>
      </x:c>
      <x:c r="E9" s="26" t="n">
        <x:f>COUNTIF('Source Audit'!$K:$K,D9)</x:f>
        <x:v>0</x:v>
      </x:c>
      <x:c r="F9" s="26" t="str">
        <x:v>Explicitly incompatible with planned release. None identified in this initial audit.</x:v>
      </x:c>
    </x:row>
    <x:row r="10" ht="18" customHeight="1"/>
    <x:row r="11" ht="24" customHeight="1">
      <x:c r="A11" s="32" t="str">
        <x:v>Publication release gates</x:v>
      </x:c>
      <x:c r="B11" s="32"/>
      <x:c r="C11" s="32"/>
      <x:c r="D11" s="32"/>
      <x:c r="E11" s="32"/>
      <x:c r="F11" s="32"/>
      <x:c r="G11" s="32"/>
      <x:c r="H11" s="32"/>
    </x:row>
    <x:row r="12" ht="48" customHeight="1">
      <x:c r="A12" s="19" t="str">
        <x:v>Gate</x:v>
      </x:c>
      <x:c r="B12" s="19" t="str">
        <x:v>Action</x:v>
      </x:c>
      <x:c r="C12" s="19" t="str">
        <x:v>Completion evidence</x:v>
      </x:c>
      <x:c r="D12" s="19" t="str">
        <x:v>Priority</x:v>
      </x:c>
    </x:row>
    <x:row r="13" ht="48" customHeight="1">
      <x:c r="A13" s="26" t="str">
        <x:v>1</x:v>
      </x:c>
      <x:c r="B13" s="26" t="str">
        <x:v>Resolve all HOLD rows</x:v>
      </x:c>
      <x:c r="C13" s="26" t="str">
        <x:v>Permission, explicit asset licence, exclusion, or rebuild-script-only decision</x:v>
      </x:c>
      <x:c r="D13" s="26" t="str">
        <x:v>Critical</x:v>
      </x:c>
    </x:row>
    <x:row r="14" ht="48" customHeight="1">
      <x:c r="A14" s="26" t="str">
        <x:v>2</x:v>
      </x:c>
      <x:c r="B14" s="26" t="str">
        <x:v>Close every AMBER action</x:v>
      </x:c>
      <x:c r="C14" s="26" t="str">
        <x:v>Pin exact release/checkpoint/file, archive licence evidence, and implement obligations</x:v>
      </x:c>
      <x:c r="D14" s="26" t="str">
        <x:v>High</x:v>
      </x:c>
    </x:row>
    <x:row r="15" ht="48" customHeight="1">
      <x:c r="A15" s="26" t="str">
        <x:v>3</x:v>
      </x:c>
      <x:c r="B15" s="26" t="str">
        <x:v>Separate licences</x:v>
      </x:c>
      <x:c r="C15" s="26" t="str">
        <x:v>LICENSE (code), DATA_LICENSE.md, THIRD_PARTY_LICENSES.md, ATTRIBUTION.md</x:v>
      </x:c>
      <x:c r="D15" s="26" t="str">
        <x:v>Critical</x:v>
      </x:c>
    </x:row>
    <x:row r="16" ht="48" customHeight="1">
      <x:c r="A16" s="26" t="str">
        <x:v>4</x:v>
      </x:c>
      <x:c r="B16" s="26" t="str">
        <x:v>Archive evidence</x:v>
      </x:c>
      <x:c r="C16" s="26" t="str">
        <x:v>Save licence texts, source URLs, retrieval dates, commits/tags, input SHA-256</x:v>
      </x:c>
      <x:c r="D16" s="26" t="str">
        <x:v>High</x:v>
      </x:c>
    </x:row>
    <x:row r="17" ht="48" customHeight="1">
      <x:c r="A17" s="26" t="str">
        <x:v>5</x:v>
      </x:c>
      <x:c r="B17" s="26" t="str">
        <x:v>Institutional review</x:v>
      </x:c>
      <x:c r="C17" s="26" t="str">
        <x:v>Have the final release package reviewed by the institution's IP/legal or research-data office</x:v>
      </x:c>
      <x:c r="D17" s="26" t="str">
        <x:v>High</x:v>
      </x:c>
    </x:row>
    <x:row r="18" ht="18" customHeight="1"/>
    <x:row r="19" ht="24" customHeight="1">
      <x:c r="A19" s="42" t="str">
        <x:v>Recommended release architecture</x:v>
      </x:c>
      <x:c r="B19" s="42"/>
      <x:c r="C19" s="42"/>
      <x:c r="D19" s="42"/>
      <x:c r="E19" s="42"/>
      <x:c r="F19" s="42"/>
      <x:c r="G19" s="42"/>
      <x:c r="H19" s="42"/>
    </x:row>
    <x:row r="20" ht="52" customHeight="1">
      <x:c r="A20" s="60" t="str">
        <x:v>File</x:v>
      </x:c>
      <x:c r="B20" s="60" t="str">
        <x:v>Purpose</x:v>
      </x:c>
      <x:c r="C20" s="60" t="str">
        <x:v>Licence treatment</x:v>
      </x:c>
      <x:c r="D20" t="str"/>
      <x:c r="E20" t="str"/>
      <x:c r="F20" t="str"/>
      <x:c r="G20" t="str"/>
      <x:c r="H20" t="str"/>
    </x:row>
    <x:row r="21" ht="52" customHeight="1">
      <x:c r="A21" s="26" t="str">
        <x:v>LICENSE</x:v>
      </x:c>
      <x:c r="B21" s="26" t="str">
        <x:v>Project-authored code</x:v>
      </x:c>
      <x:c r="C21" s="26" t="str">
        <x:v>Choose a software licence only for code; do not imply it covers third-party values.</x:v>
      </x:c>
      <x:c r="D21" t="str"/>
      <x:c r="E21" t="str"/>
      <x:c r="F21" t="str"/>
      <x:c r="G21" t="str"/>
      <x:c r="H21" t="str"/>
    </x:row>
    <x:row r="22" ht="52" customHeight="1">
      <x:c r="A22" s="26" t="str">
        <x:v>DATA_LICENSE.md</x:v>
      </x:c>
      <x:c r="B22" s="26" t="str">
        <x:v>Project-authored selection/arrangement and metadata</x:v>
      </x:c>
      <x:c r="C22" s="26" t="str">
        <x:v>State exactly which original contributions are licensed and exclude third-party rights.</x:v>
      </x:c>
      <x:c r="D22" t="str"/>
      <x:c r="E22" t="str"/>
      <x:c r="F22" t="str"/>
      <x:c r="G22" t="str"/>
      <x:c r="H22" t="str"/>
    </x:row>
    <x:row r="23" ht="52" customHeight="1">
      <x:c r="A23" s="26" t="str">
        <x:v>THIRD_PARTY_LICENSES.md</x:v>
      </x:c>
      <x:c r="B23" s="26" t="str">
        <x:v>All external software/data/model notices</x:v>
      </x:c>
      <x:c r="C23" s="26" t="str">
        <x:v>One section per source/asset, with version and evidence URL.</x:v>
      </x:c>
      <x:c r="D23" t="str"/>
      <x:c r="E23" t="str"/>
      <x:c r="F23" t="str"/>
      <x:c r="G23" t="str"/>
      <x:c r="H23" t="str"/>
    </x:row>
    <x:row r="24" ht="52" customHeight="1">
      <x:c r="A24" s="26" t="str">
        <x:v>ATTRIBUTION.md</x:v>
      </x:c>
      <x:c r="B24" s="26" t="str">
        <x:v>Required citations and acknowledgement wording</x:v>
      </x:c>
      <x:c r="C24" s="26" t="str">
        <x:v>Include CIAAW/IUPAC, NIST courtesy language where applicable, and model/data citations.</x:v>
      </x:c>
      <x:c r="D24" t="str"/>
      <x:c r="E24" t="str"/>
      <x:c r="F24" t="str"/>
      <x:c r="G24" t="str"/>
      <x:c r="H24" t="str"/>
    </x:row>
    <x:row r="25" ht="52" customHeight="1">
      <x:c r="A25" s="26" t="str">
        <x:v>LICENSES/</x:v>
      </x:c>
      <x:c r="B25" s="26" t="str">
        <x:v>Archived licence texts</x:v>
      </x:c>
      <x:c r="C25" s="26" t="str">
        <x:v>Save verbatim licence files tied to tags/commits and checksums.</x:v>
      </x:c>
      <x:c r="D25" t="str"/>
      <x:c r="E25" t="str"/>
      <x:c r="F25" t="str"/>
      <x:c r="G25" t="str"/>
      <x:c r="H25" t="str"/>
    </x:row>
  </x:sheetData>
  <x:mergeCells>
    <x:mergeCell ref="A1:H2"/>
    <x:mergeCell ref="A3:H3"/>
    <x:mergeCell ref="A11:H11"/>
    <x:mergeCell ref="A19:H19"/>
  </x:mergeCells>
  <x:conditionalFormatting sqref="D6:D9">
    <x:cfRule type="expression" dxfId="0" priority="1">
      <x:formula>D6="GREEN"</x:formula>
    </x:cfRule>
    <x:cfRule type="expression" dxfId="1" priority="2">
      <x:formula>D6="AMBER"</x:formula>
    </x:cfRule>
    <x:cfRule type="expression" dxfId="2" priority="3">
      <x:formula>D6="HOLD"</x:formula>
    </x:cfRule>
    <x:cfRule type="expression" dxfId="3" priority="4">
      <x:formula>D6="RED"</x:formula>
    </x:cfRule>
  </x:conditionalFormatting>
  <x:conditionalFormatting sqref="D13:D17">
    <x:cfRule type="expression" dxfId="4" priority="5">
      <x:formula>D13="Critical"</x:formula>
    </x:cfRule>
    <x:cfRule type="expression" dxfId="5" priority="6">
      <x:formula>D13="High"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5" hidden="0" customWidth="1"/>
    <x:col min="4" max="4" width="30" hidden="0" customWidth="1"/>
    <x:col min="5" max="5" width="12" hidden="0" customWidth="1"/>
    <x:col min="6" max="6" width="30" hidden="0" customWidth="1"/>
    <x:col min="7" max="7" width="18" hidden="0" customWidth="1"/>
    <x:col min="8" max="8" width="28" hidden="0" customWidth="1"/>
    <x:col min="9" max="9" width="40" hidden="0" customWidth="1"/>
    <x:col min="10" max="10" width="42" hidden="0" customWidth="1"/>
    <x:col min="11" max="11" width="12" hidden="0" customWidth="1"/>
    <x:col min="12" max="12" width="12" hidden="0" customWidth="1"/>
    <x:col min="13" max="13" width="48" hidden="0" customWidth="1"/>
    <x:col min="14" max="14" width="50" hidden="0" customWidth="1"/>
    <x:col min="15" max="15" width="50" hidden="0" customWidth="1"/>
    <x:col min="16" max="16" width="55" hidden="0" customWidth="1"/>
    <x:col min="17" max="17" width="40" hidden="0" customWidth="1"/>
    <x:col min="18" max="18" width="13" hidden="0" customWidth="1"/>
    <x:col min="19" max="19" width="15" hidden="0" customWidth="1"/>
    <x:col min="20" max="20" width="24" hidden="0" customWidth="1"/>
  </x:cols>
  <x:sheetData>
    <x:row r="1" ht="34" customHeight="1">
      <x:c r="A1" s="19" t="str">
        <x:v>Audit ID</x:v>
      </x:c>
      <x:c r="B1" s="19" t="str">
        <x:v>Source ID</x:v>
      </x:c>
      <x:c r="C1" s="19" t="str">
        <x:v>Dataset partition</x:v>
      </x:c>
      <x:c r="D1" s="19" t="str">
        <x:v>Feature block(s)</x:v>
      </x:c>
      <x:c r="E1" s="19" t="str">
        <x:v>Feature count</x:v>
      </x:c>
      <x:c r="F1" s="19" t="str">
        <x:v>Source / representation</x:v>
      </x:c>
      <x:c r="G1" s="19" t="str">
        <x:v>Version / release used</x:v>
      </x:c>
      <x:c r="H1" s="19" t="str">
        <x:v>Software / package licence</x:v>
      </x:c>
      <x:c r="I1" s="19" t="str">
        <x:v>Exact data / model asset licence</x:v>
      </x:c>
      <x:c r="J1" s="19" t="str">
        <x:v>Licence evidence URL</x:v>
      </x:c>
      <x:c r="K1" s="19" t="str">
        <x:v>Release status</x:v>
      </x:c>
      <x:c r="L1" s="19" t="str">
        <x:v>Confidence</x:v>
      </x:c>
      <x:c r="M1" s="19" t="str">
        <x:v>Required obligations</x:v>
      </x:c>
      <x:c r="N1" s="19" t="str">
        <x:v>Known ambiguity / risk</x:v>
      </x:c>
      <x:c r="O1" s="19" t="str">
        <x:v>Recommended GitHub action</x:v>
      </x:c>
      <x:c r="P1" s="19" t="str">
        <x:v>Recommended citation</x:v>
      </x:c>
      <x:c r="Q1" s="19" t="str">
        <x:v>Source URL</x:v>
      </x:c>
      <x:c r="R1" s="19" t="str">
        <x:v>Retrieval date</x:v>
      </x:c>
      <x:c r="S1" s="19" t="str">
        <x:v>Owner</x:v>
      </x:c>
      <x:c r="T1" s="19" t="str">
        <x:v>Action status</x:v>
      </x:c>
    </x:row>
    <x:row r="2" ht="48" customHeight="1">
      <x:c r="A2" s="26" t="str">
        <x:v>LIC-001</x:v>
      </x:c>
      <x:c r="B2" s="26" t="str">
        <x:v>SRC001</x:v>
      </x:c>
      <x:c r="C2" s="26" t="str">
        <x:v>Others</x:v>
      </x:c>
      <x:c r="D2" s="26" t="str">
        <x:v>emb_matscibert</x:v>
      </x:c>
      <x:c r="E2" s="26" t="n">
        <x:v>768</x:v>
      </x:c>
      <x:c r="F2" s="26" t="str">
        <x:v>ElementEmbeddings collection</x:v>
      </x:c>
      <x:c r="G2" s="26" t="str">
        <x:v>0.8.0</x:v>
      </x:c>
      <x:c r="H2" s="26" t="str">
        <x:v>ElementEmbeddings: MIT</x:v>
      </x:c>
      <x:c r="I2" s="26" t="str">
        <x:v>MatSciBERT repository: GPL-3.0; exact model-weight/vector licence not independently pinned</x:v>
      </x:c>
      <x:c r="J2" s="26" t="str">
        <x:v>https://github.com/M3RG-IITD/MatSciBERT/blob/main/LICENSE</x:v>
      </x:c>
      <x:c r="K2" s="26" t="str">
        <x:v>HOLD</x:v>
      </x:c>
      <x:c r="L2" s="26" t="str">
        <x:v>Medium</x:v>
      </x:c>
      <x:c r="M2" s="26" t="str">
        <x:v>If cleared, preserve GPL/MIT notices as applicable and cite MatSciBERT plus ElementEmbeddings.</x:v>
      </x:c>
      <x:c r="N2" s="26" t="str">
        <x:v>Copyleft code licence is clear, but the exact pretrained checkpoint and the status of redistributed element vectors must be tied to an asset-level licence.</x:v>
      </x:c>
      <x:c r="O2" s="26" t="str">
        <x:v>Do not redistribute the 768 vectors until the exact checkpoint/asset licence is archived; otherwise publish a rebuild script only.</x:v>
      </x:c>
      <x:c r="P2" s="26" t="str">
        <x:v>C. Onwuli et al., Digital Discovery 2, 1558-1570 (2023), doi:10.1039/D3DD00121K, plus the original publication for each representation. Primary representation source: T. Gupta et al., npj Comput. Mater. 8, 102 (2022), doi:10.1038/s41524-022-00784-w.</x:v>
      </x:c>
      <x:c r="Q2" s="26" t="str">
        <x:v>https://github.com/WMD-group/ElementEmbeddings</x:v>
      </x:c>
      <x:c r="R2" s="26" t="str"/>
      <x:c r="S2" s="26" t="str"/>
      <x:c r="T2" s="26" t="str">
        <x:v>Open</x:v>
      </x:c>
    </x:row>
    <x:row r="3" ht="48" customHeight="1">
      <x:c r="A3" s="26" t="str">
        <x:v>LIC-002</x:v>
      </x:c>
      <x:c r="B3" s="26" t="str">
        <x:v>SRC002</x:v>
      </x:c>
      <x:c r="C3" s="26" t="str">
        <x:v>Others</x:v>
      </x:c>
      <x:c r="D3" s="26" t="str">
        <x:v>emb_crystallm</x:v>
      </x:c>
      <x:c r="E3" s="26" t="n">
        <x:v>512</x:v>
      </x:c>
      <x:c r="F3" s="26" t="str">
        <x:v>ElementEmbeddings collection</x:v>
      </x:c>
      <x:c r="G3" s="26" t="str">
        <x:v>0.8.0</x:v>
      </x:c>
      <x:c r="H3" s="26" t="str">
        <x:v>ElementEmbeddings: MIT</x:v>
      </x:c>
      <x:c r="I3" s="26" t="str">
        <x:v>CrystaLLM code: MIT; released models/training sets/artifacts: CC BY 4.0</x:v>
      </x:c>
      <x:c r="J3" s="26" t="str">
        <x:v>https://github.com/lantunes/CrystaLLM</x:v>
      </x:c>
      <x:c r="K3" s="26" t="str">
        <x:v>AMBER</x:v>
      </x:c>
      <x:c r="L3" s="26" t="str">
        <x:v>High</x:v>
      </x:c>
      <x:c r="M3" s="26" t="str">
        <x:v>Credit authors/source, link CC BY 4.0, indicate transformation/extraction, preserve MIT notice for code.</x:v>
      </x:c>
      <x:c r="N3" s="26" t="str">
        <x:v>The exact Zenodo record/version and extraction source for the 512-dimensional vectors are not recorded in the current source registry.</x:v>
      </x:c>
      <x:c r="O3" s="26" t="str">
        <x:v>Pin the exact CrystaLLM/Zenodo asset, record DOI/version/hash, and add CC BY 4.0 attribution before release.</x:v>
      </x:c>
      <x:c r="P3" s="26" t="str">
        <x:v>C. Onwuli et al., Digital Discovery 2, 1558-1570 (2023), doi:10.1039/D3DD00121K, plus the original publication for each representation. Primary representation source: L. Antunes et al., Nat. Commun. 15, 10570 (2024), doi:10.1038/s41467-024-54639-7.</x:v>
      </x:c>
      <x:c r="Q3" s="26" t="str">
        <x:v>https://github.com/WMD-group/ElementEmbeddings</x:v>
      </x:c>
      <x:c r="R3" s="26" t="str"/>
      <x:c r="S3" s="26" t="str"/>
      <x:c r="T3" s="26" t="str">
        <x:v>Open</x:v>
      </x:c>
    </x:row>
    <x:row r="4" ht="48" customHeight="1">
      <x:c r="A4" s="26" t="str">
        <x:v>LIC-003</x:v>
      </x:c>
      <x:c r="B4" s="26" t="str">
        <x:v>SRC003</x:v>
      </x:c>
      <x:c r="C4" s="26" t="str">
        <x:v>Others</x:v>
      </x:c>
      <x:c r="D4" s="26" t="str">
        <x:v>emb_chemeleon</x:v>
      </x:c>
      <x:c r="E4" s="26" t="n">
        <x:v>512</x:v>
      </x:c>
      <x:c r="F4" s="26" t="str">
        <x:v>ElementEmbeddings collection</x:v>
      </x:c>
      <x:c r="G4" s="26" t="str">
        <x:v>0.8.0</x:v>
      </x:c>
      <x:c r="H4" s="26" t="str">
        <x:v>ElementEmbeddings: MIT</x:v>
      </x:c>
      <x:c r="I4" s="26" t="str">
        <x:v>Chemeleon repository/model distribution: MIT</x:v>
      </x:c>
      <x:c r="J4" s="26" t="str">
        <x:v>https://github.com/hspark1212/chemeleon/blob/main/LICENSE</x:v>
      </x:c>
      <x:c r="K4" s="26" t="str">
        <x:v>AMBER</x:v>
      </x:c>
      <x:c r="L4" s="26" t="str">
        <x:v>High</x:v>
      </x:c>
      <x:c r="M4" s="26" t="str">
        <x:v>Preserve MIT notice and cite Nature Communications paper plus ElementEmbeddings.</x:v>
      </x:c>
      <x:c r="N4" s="26" t="str">
        <x:v>Exact model release/checkpoint and node-representation extraction protocol are not pinned.</x:v>
      </x:c>
      <x:c r="O4" s="26" t="str">
        <x:v>Record Chemeleon release/checkpoint/hash and extraction code; include MIT notice and model citation.</x:v>
      </x:c>
      <x:c r="P4" s="26" t="str">
        <x:v>C. Onwuli et al., Digital Discovery 2, 1558-1570 (2023), doi:10.1039/D3DD00121K, plus the original publication for each representation. Primary representation source: S. Park et al., Nat. Commun. 16, 4869 (2025), doi:10.1038/s41467-025-59636-y.</x:v>
      </x:c>
      <x:c r="Q4" s="26" t="str">
        <x:v>https://github.com/WMD-group/ElementEmbeddings</x:v>
      </x:c>
      <x:c r="R4" s="26" t="str"/>
      <x:c r="S4" s="26" t="str"/>
      <x:c r="T4" s="26" t="str">
        <x:v>Open</x:v>
      </x:c>
    </x:row>
    <x:row r="5" ht="48" customHeight="1">
      <x:c r="A5" s="26" t="str">
        <x:v>LIC-004</x:v>
      </x:c>
      <x:c r="B5" s="26" t="str">
        <x:v>SRC004</x:v>
      </x:c>
      <x:c r="C5" s="26" t="str">
        <x:v>Both</x:v>
      </x:c>
      <x:c r="D5" s="26" t="str">
        <x:v>matminer_jarvis</x:v>
      </x:c>
      <x:c r="E5" s="26" t="n">
        <x:v>438</x:v>
      </x:c>
      <x:c r="F5" s="26" t="str">
        <x:v>JARVIS CFID elemental chemistry table distributed with matminer</x:v>
      </x:c>
      <x:c r="G5" s="26" t="str">
        <x:v>matminer 0.10.1</x:v>
      </x:c>
      <x:c r="H5" s="26" t="str">
        <x:v>matminer: BSD-3-Clause; JARVIS software/data repository: MIT</x:v>
      </x:c>
      <x:c r="I5" s="26" t="str">
        <x:v>Exact element_chem table expected under JARVIS/matminer distribution terms</x:v>
      </x:c>
      <x:c r="J5" s="26" t="str">
        <x:v>https://github.com/usnistgov/JARVIS-DFT/blob/master/LICENSE</x:v>
      </x:c>
      <x:c r="K5" s="26" t="str">
        <x:v>AMBER</x:v>
      </x:c>
      <x:c r="L5" s="26" t="str">
        <x:v>Medium</x:v>
      </x:c>
      <x:c r="M5" s="26" t="str">
        <x:v>Retain MIT/BSD notices and cite JARVIS-CFID and matminer.</x:v>
      </x:c>
      <x:c r="N5" s="26" t="str">
        <x:v>Archive the licence that accompanied the exact element_chem.json/table version used and distinguish JARVIS direct values from matminer packaging.</x:v>
      </x:c>
      <x:c r="O5" s="26" t="str">
        <x:v>Pin source file, commit and SHA-256; preserve both JARVIS and matminer notices.</x:v>
      </x:c>
      <x:c r="P5" s="26" t="str">
        <x:v>K. Choudhary, B. DeCost, F. Tavazza, Phys. Rev. Mater. 2, 083801 (2018), doi:10.1103/PhysRevMaterials.2.083801; cite matminer for the distributed table.</x:v>
      </x:c>
      <x:c r="Q5" s="26" t="str">
        <x:v>https://jarvis-materials-design.github.io/dbdocs/jarvisml/</x:v>
      </x:c>
      <x:c r="R5" s="26" t="str">
        <x:v>2026-07-16</x:v>
      </x:c>
      <x:c r="S5" s="26" t="str"/>
      <x:c r="T5" s="26" t="str">
        <x:v>Open</x:v>
      </x:c>
    </x:row>
    <x:row r="6" ht="48" customHeight="1">
      <x:c r="A6" s="26" t="str">
        <x:v>LIC-005</x:v>
      </x:c>
      <x:c r="B6" s="26" t="str">
        <x:v>SRC005</x:v>
      </x:c>
      <x:c r="C6" s="26" t="str">
        <x:v>Interpretable</x:v>
      </x:c>
      <x:c r="D6" s="26" t="str">
        <x:v>mendeleev_ionic_radius</x:v>
      </x:c>
      <x:c r="E6" s="26" t="n">
        <x:v>328</x:v>
      </x:c>
      <x:c r="F6" s="26" t="str">
        <x:v>Mendeleev ionic-radii table (Shannon-type data)</x:v>
      </x:c>
      <x:c r="G6" s="26" t="str">
        <x:v>1.1.0</x:v>
      </x:c>
      <x:c r="H6" s="26" t="str">
        <x:v>mendeleev-data: MIT</x:v>
      </x:c>
      <x:c r="I6" s="26" t="str">
        <x:v>Shannon-type values redistributed through mendeleev-data; original article is the scientific source</x:v>
      </x:c>
      <x:c r="J6" s="26" t="str">
        <x:v>https://github.com/lmmentel/mendeleev-data/blob/main/LICENSE</x:v>
      </x:c>
      <x:c r="K6" s="26" t="str">
        <x:v>AMBER</x:v>
      </x:c>
      <x:c r="L6" s="26" t="str">
        <x:v>Medium</x:v>
      </x:c>
      <x:c r="M6" s="26" t="str">
        <x:v>Preserve MIT notice and cite Shannon (1976) and Mendeleev.</x:v>
      </x:c>
      <x:c r="N6" s="26" t="str">
        <x:v>Repository grant is explicit, but third-party compilation provenance and database-right implications should be recorded.</x:v>
      </x:c>
      <x:c r="O6" s="26" t="str">
        <x:v>Archive mendeleev-data licence/version and add Shannon attribution; seek institutional IP confirmation for direct table redistribution.</x:v>
      </x:c>
      <x:c r="P6" s="26" t="str">
        <x:v>R. D. Shannon, Acta Crystallogr. A 32, 751-767 (1976), together with Mendeleev version 1.1.0.</x:v>
      </x:c>
      <x:c r="Q6" s="26" t="str">
        <x:v>https://mendeleev.readthedocs.io/</x:v>
      </x:c>
      <x:c r="R6" s="26" t="str">
        <x:v>2026-07-16</x:v>
      </x:c>
      <x:c r="S6" s="26" t="str"/>
      <x:c r="T6" s="26" t="str">
        <x:v>Open</x:v>
      </x:c>
    </x:row>
    <x:row r="7" ht="48" customHeight="1">
      <x:c r="A7" s="26" t="str">
        <x:v>LIC-006</x:v>
      </x:c>
      <x:c r="B7" s="26" t="str">
        <x:v>SRC006</x:v>
      </x:c>
      <x:c r="C7" s="26" t="str">
        <x:v>Others</x:v>
      </x:c>
      <x:c r="D7" s="26" t="str">
        <x:v>emb_orb_v2</x:v>
      </x:c>
      <x:c r="E7" s="26" t="n">
        <x:v>256</x:v>
      </x:c>
      <x:c r="F7" s="26" t="str">
        <x:v>ElementEmbeddings collection</x:v>
      </x:c>
      <x:c r="G7" s="26" t="str">
        <x:v>0.8.0</x:v>
      </x:c>
      <x:c r="H7" s="26" t="str">
        <x:v>ElementEmbeddings: MIT</x:v>
      </x:c>
      <x:c r="I7" s="26" t="str">
        <x:v>ORB models: Apache-2.0 in the current official repository; exact ORB-v2 asset must be pinned</x:v>
      </x:c>
      <x:c r="J7" s="26" t="str">
        <x:v>https://github.com/orbital-materials/orb-models/blob/main/LICENSE</x:v>
      </x:c>
      <x:c r="K7" s="26" t="str">
        <x:v>AMBER</x:v>
      </x:c>
      <x:c r="L7" s="26" t="str">
        <x:v>Medium</x:v>
      </x:c>
      <x:c r="M7" s="26" t="str">
        <x:v>Preserve Apache-2.0 NOTICE/LICENCE and cite ORB plus ElementEmbeddings.</x:v>
      </x:c>
      <x:c r="N7" s="26" t="str">
        <x:v>ORB licensing changed across releases; the licence in force for the exact extracted representation must be evidenced.</x:v>
      </x:c>
      <x:c r="O7" s="26" t="str">
        <x:v>Pin ORB-v2 model tag/commit, licence file and hash contemporaneous with extraction.</x:v>
      </x:c>
      <x:c r="P7" s="26" t="str">
        <x:v>C. Onwuli et al., Digital Discovery 2, 1558-1570 (2023), doi:10.1039/D3DD00121K, plus the original publication for each representation. Primary representation source: S. Neumann et al., ORB: A Fast, Scalable Neural Network Potential, arXiv:2410.22570.</x:v>
      </x:c>
      <x:c r="Q7" s="26" t="str">
        <x:v>https://github.com/WMD-group/ElementEmbeddings</x:v>
      </x:c>
      <x:c r="R7" s="26" t="str"/>
      <x:c r="S7" s="26" t="str"/>
      <x:c r="T7" s="26" t="str">
        <x:v>Open</x:v>
      </x:c>
    </x:row>
    <x:row r="8" ht="48" customHeight="1">
      <x:c r="A8" s="26" t="str">
        <x:v>LIC-007</x:v>
      </x:c>
      <x:c r="B8" s="26" t="str">
        <x:v>SRC007</x:v>
      </x:c>
      <x:c r="C8" s="26" t="str">
        <x:v>Others</x:v>
      </x:c>
      <x:c r="D8" s="26" t="str">
        <x:v>emb_skipatom</x:v>
      </x:c>
      <x:c r="E8" s="26" t="n">
        <x:v>200</x:v>
      </x:c>
      <x:c r="F8" s="26" t="str">
        <x:v>ElementEmbeddings collection</x:v>
      </x:c>
      <x:c r="G8" s="26" t="str">
        <x:v>0.8.0</x:v>
      </x:c>
      <x:c r="H8" s="26" t="str">
        <x:v>ElementEmbeddings: MIT</x:v>
      </x:c>
      <x:c r="I8" s="26" t="str">
        <x:v>SkipAtom code and pretrained vectors: MIT</x:v>
      </x:c>
      <x:c r="J8" s="26" t="str">
        <x:v>https://github.com/lantunes/skipatom/blob/main/LICENSE</x:v>
      </x:c>
      <x:c r="K8" s="26" t="str">
        <x:v>GREEN</x:v>
      </x:c>
      <x:c r="L8" s="26" t="str">
        <x:v>High</x:v>
      </x:c>
      <x:c r="M8" s="26" t="str">
        <x:v>Preserve MIT notice and cite SkipAtom and ElementEmbeddings.</x:v>
      </x:c>
      <x:c r="N8" s="26" t="str">
        <x:v>None material after exact vector file/version is recorded.</x:v>
      </x:c>
      <x:c r="O8" s="26" t="str">
        <x:v>Include; archive exact vector file/hash and MIT notice.</x:v>
      </x:c>
      <x:c r="P8" s="26" t="str">
        <x:v>C. Onwuli et al., Digital Discovery 2, 1558-1570 (2023), doi:10.1039/D3DD00121K, plus the original publication for each representation. Primary representation source: L. Antunes et al., npj Comput. Mater. 8, 44 (2022), doi:10.1038/s41524-022-00729-3.</x:v>
      </x:c>
      <x:c r="Q8" s="26" t="str">
        <x:v>https://github.com/WMD-group/ElementEmbeddings</x:v>
      </x:c>
      <x:c r="R8" s="26" t="str"/>
      <x:c r="S8" s="26" t="str"/>
      <x:c r="T8" s="26" t="str">
        <x:v>Evidence/notice implementation pending</x:v>
      </x:c>
    </x:row>
    <x:row r="9" ht="48" customHeight="1">
      <x:c r="A9" s="26" t="str">
        <x:v>LIC-008</x:v>
      </x:c>
      <x:c r="B9" s="26" t="str">
        <x:v>SRC008</x:v>
      </x:c>
      <x:c r="C9" s="26" t="str">
        <x:v>Others</x:v>
      </x:c>
      <x:c r="D9" s="26" t="str">
        <x:v>emb_matscholar</x:v>
      </x:c>
      <x:c r="E9" s="26" t="n">
        <x:v>200</x:v>
      </x:c>
      <x:c r="F9" s="26" t="str">
        <x:v>ElementEmbeddings collection</x:v>
      </x:c>
      <x:c r="G9" s="26" t="str">
        <x:v>0.8.0</x:v>
      </x:c>
      <x:c r="H9" s="26" t="str">
        <x:v>ElementEmbeddings: MIT</x:v>
      </x:c>
      <x:c r="I9" s="26" t="str">
        <x:v>MatScholar repository: MIT</x:v>
      </x:c>
      <x:c r="J9" s="26" t="str">
        <x:v>https://github.com/materialsintelligence/matscholar</x:v>
      </x:c>
      <x:c r="K9" s="26" t="str">
        <x:v>GREEN</x:v>
      </x:c>
      <x:c r="L9" s="26" t="str">
        <x:v>High</x:v>
      </x:c>
      <x:c r="M9" s="26" t="str">
        <x:v>Preserve MIT notice and cite MatScholar and ElementEmbeddings.</x:v>
      </x:c>
      <x:c r="N9" s="26" t="str">
        <x:v>Record exact pretrained vector asset and version.</x:v>
      </x:c>
      <x:c r="O9" s="26" t="str">
        <x:v>Include with exact asset hash and MIT notice.</x:v>
      </x:c>
      <x:c r="P9" s="26" t="str">
        <x:v>C. Onwuli et al., Digital Discovery 2, 1558-1570 (2023), doi:10.1039/D3DD00121K, plus the original publication for each representation. Primary representation source: L. Weston et al., J. Chem. Inf. Model. 59, 3692-3702 (2019), doi:10.1021/acs.jcim.9b00470.</x:v>
      </x:c>
      <x:c r="Q9" s="26" t="str">
        <x:v>https://github.com/WMD-group/ElementEmbeddings</x:v>
      </x:c>
      <x:c r="R9" s="26" t="str"/>
      <x:c r="S9" s="26" t="str"/>
      <x:c r="T9" s="26" t="str">
        <x:v>Evidence/notice implementation pending</x:v>
      </x:c>
    </x:row>
    <x:row r="10" ht="48" customHeight="1">
      <x:c r="A10" s="26" t="str">
        <x:v>LIC-009</x:v>
      </x:c>
      <x:c r="B10" s="26" t="str">
        <x:v>SRC009</x:v>
      </x:c>
      <x:c r="C10" s="26" t="str">
        <x:v>Others</x:v>
      </x:c>
      <x:c r="D10" s="26" t="str">
        <x:v>emb_mat2vec</x:v>
      </x:c>
      <x:c r="E10" s="26" t="n">
        <x:v>200</x:v>
      </x:c>
      <x:c r="F10" s="26" t="str">
        <x:v>ElementEmbeddings collection</x:v>
      </x:c>
      <x:c r="G10" s="26" t="str">
        <x:v>0.8.0</x:v>
      </x:c>
      <x:c r="H10" s="26" t="str">
        <x:v>ElementEmbeddings: MIT</x:v>
      </x:c>
      <x:c r="I10" s="26" t="str">
        <x:v>mat2vec repository and model assets: MIT</x:v>
      </x:c>
      <x:c r="J10" s="26" t="str">
        <x:v>https://github.com/materialsintelligence/mat2vec/blob/master/LICENSE</x:v>
      </x:c>
      <x:c r="K10" s="26" t="str">
        <x:v>GREEN</x:v>
      </x:c>
      <x:c r="L10" s="26" t="str">
        <x:v>High</x:v>
      </x:c>
      <x:c r="M10" s="26" t="str">
        <x:v>Preserve MIT notice and cite mat2vec and ElementEmbeddings.</x:v>
      </x:c>
      <x:c r="N10" s="26" t="str">
        <x:v>Record exact downloaded model/vector checksum.</x:v>
      </x:c>
      <x:c r="O10" s="26" t="str">
        <x:v>Include with MIT notice and pinned model/vector asset.</x:v>
      </x:c>
      <x:c r="P10" s="26" t="str">
        <x:v>C. Onwuli et al., Digital Discovery 2, 1558-1570 (2023), doi:10.1039/D3DD00121K, plus the original publication for each representation. Primary representation source: V. Tshitoyan et al., Nature 571, 95-98 (2019), doi:10.1038/s41586-019-1335-8.</x:v>
      </x:c>
      <x:c r="Q10" s="26" t="str">
        <x:v>https://github.com/WMD-group/ElementEmbeddings</x:v>
      </x:c>
      <x:c r="R10" s="26" t="str"/>
      <x:c r="S10" s="26" t="str"/>
      <x:c r="T10" s="26" t="str">
        <x:v>Evidence/notice implementation pending</x:v>
      </x:c>
    </x:row>
    <x:row r="11" ht="48" customHeight="1">
      <x:c r="A11" s="26" t="str">
        <x:v>LIC-010</x:v>
      </x:c>
      <x:c r="B11" s="26" t="str">
        <x:v>SRC010</x:v>
      </x:c>
      <x:c r="C11" s="26" t="str">
        <x:v>Others</x:v>
      </x:c>
      <x:c r="D11" s="26" t="str">
        <x:v>emb_mace_mp0</x:v>
      </x:c>
      <x:c r="E11" s="26" t="n">
        <x:v>128</x:v>
      </x:c>
      <x:c r="F11" s="26" t="str">
        <x:v>ElementEmbeddings collection</x:v>
      </x:c>
      <x:c r="G11" s="26" t="str">
        <x:v>0.8.0</x:v>
      </x:c>
      <x:c r="H11" s="26" t="str">
        <x:v>ElementEmbeddings: MIT</x:v>
      </x:c>
      <x:c r="I11" s="26" t="str">
        <x:v>MACE code: MIT; MACE-MP-0 model is documented as MIT, but model-specific terms must be pinned</x:v>
      </x:c>
      <x:c r="J11" s="26" t="str">
        <x:v>https://mace-docs.readthedocs.io/en/latest/guide/foundation_models.html</x:v>
      </x:c>
      <x:c r="K11" s="26" t="str">
        <x:v>AMBER</x:v>
      </x:c>
      <x:c r="L11" s="26" t="str">
        <x:v>High</x:v>
      </x:c>
      <x:c r="M11" s="26" t="str">
        <x:v>Preserve MIT notice and cite MACE-MP-0 and ElementEmbeddings.</x:v>
      </x:c>
      <x:c r="N11" s="26" t="str">
        <x:v>MACE foundation models do not all share one licence; exact MACE-MP-0 checkpoint/version is required.</x:v>
      </x:c>
      <x:c r="O11" s="26" t="str">
        <x:v>Record checkpoint name, download URL, tag and hash; archive model-specific MIT evidence.</x:v>
      </x:c>
      <x:c r="P11" s="26" t="str">
        <x:v>C. Onwuli et al., Digital Discovery 2, 1558-1570 (2023), doi:10.1039/D3DD00121K, plus the original publication for each representation. Primary representation source: I. Batatia et al., J. Chem. Phys. 163, 184110 (2025), doi:10.1063/5.0297006.</x:v>
      </x:c>
      <x:c r="Q11" s="26" t="str">
        <x:v>https://github.com/WMD-group/ElementEmbeddings</x:v>
      </x:c>
      <x:c r="R11" s="26" t="str"/>
      <x:c r="S11" s="26" t="str"/>
      <x:c r="T11" s="26" t="str">
        <x:v>Open</x:v>
      </x:c>
    </x:row>
    <x:row r="12" ht="48" customHeight="1">
      <x:c r="A12" s="26" t="str">
        <x:v>LIC-011</x:v>
      </x:c>
      <x:c r="B12" s="26" t="str">
        <x:v>SRC011</x:v>
      </x:c>
      <x:c r="C12" s="26" t="str">
        <x:v>Others</x:v>
      </x:c>
      <x:c r="D12" s="26" t="str">
        <x:v>emb_sevennet</x:v>
      </x:c>
      <x:c r="E12" s="26" t="n">
        <x:v>128</x:v>
      </x:c>
      <x:c r="F12" s="26" t="str">
        <x:v>ElementEmbeddings collection</x:v>
      </x:c>
      <x:c r="G12" s="26" t="str">
        <x:v>0.8.0</x:v>
      </x:c>
      <x:c r="H12" s="26" t="str">
        <x:v>ElementEmbeddings: MIT</x:v>
      </x:c>
      <x:c r="I12" s="26" t="str">
        <x:v>SevenNet repository and distributed model: MIT</x:v>
      </x:c>
      <x:c r="J12" s="26" t="str">
        <x:v>https://github.com/MDIL-SNU/SevenNet/blob/main/LICENSE</x:v>
      </x:c>
      <x:c r="K12" s="26" t="str">
        <x:v>GREEN</x:v>
      </x:c>
      <x:c r="L12" s="26" t="str">
        <x:v>Medium</x:v>
      </x:c>
      <x:c r="M12" s="26" t="str">
        <x:v>Preserve MIT notice and cite SevenNet and ElementEmbeddings.</x:v>
      </x:c>
      <x:c r="N12" s="26" t="str">
        <x:v>Record exact checkpoint/version used to derive vectors.</x:v>
      </x:c>
      <x:c r="O12" s="26" t="str">
        <x:v>Include after adding checkpoint hash and MIT notice.</x:v>
      </x:c>
      <x:c r="P12" s="26" t="str">
        <x:v>C. Onwuli et al., Digital Discovery 2, 1558-1570 (2023), doi:10.1039/D3DD00121K, plus the original publication for each representation. Primary representation source: Y. Park et al., J. Chem. Theory Comput. 20, 4857-4868 (2024), doi:10.1021/acs.jctc.4c00190.</x:v>
      </x:c>
      <x:c r="Q12" s="26" t="str">
        <x:v>https://github.com/WMD-group/ElementEmbeddings</x:v>
      </x:c>
      <x:c r="R12" s="26" t="str"/>
      <x:c r="S12" s="26" t="str"/>
      <x:c r="T12" s="26" t="str">
        <x:v>Evidence/notice implementation pending</x:v>
      </x:c>
    </x:row>
    <x:row r="13" ht="48" customHeight="1">
      <x:c r="A13" s="26" t="str">
        <x:v>LIC-012</x:v>
      </x:c>
      <x:c r="B13" s="26" t="str">
        <x:v>SRC012</x:v>
      </x:c>
      <x:c r="C13" s="26" t="str">
        <x:v>Interpretable</x:v>
      </x:c>
      <x:c r="D13" s="26" t="str">
        <x:v>mendeleev_ionization_state</x:v>
      </x:c>
      <x:c r="E13" s="26" t="n">
        <x:v>99</x:v>
      </x:c>
      <x:c r="F13" s="26" t="str">
        <x:v>Mendeleev ionizationenergies table</x:v>
      </x:c>
      <x:c r="G13" s="26" t="str">
        <x:v>1.1.0</x:v>
      </x:c>
      <x:c r="H13" s="26" t="str">
        <x:v>mendeleev: MIT; mendeleev-data: MIT</x:v>
      </x:c>
      <x:c r="I13" s="26" t="str">
        <x:v>Ionization-state table distributed under mendeleev-data MIT</x:v>
      </x:c>
      <x:c r="J13" s="26" t="str">
        <x:v>https://github.com/lmmentel/mendeleev-data/blob/main/LICENSE</x:v>
      </x:c>
      <x:c r="K13" s="26" t="str">
        <x:v>GREEN</x:v>
      </x:c>
      <x:c r="L13" s="26" t="str">
        <x:v>High</x:v>
      </x:c>
      <x:c r="M13" s="26" t="str">
        <x:v>Preserve MIT notice; cite Mendeleev and field-level original sources.</x:v>
      </x:c>
      <x:c r="N13" s="26" t="str">
        <x:v>Field-level original references, including NIST records, must remain in attribution metadata.</x:v>
      </x:c>
      <x:c r="O13" s="26" t="str">
        <x:v>Include; archive release/tag/hash and all source citations.</x:v>
      </x:c>
      <x:c r="P13" s="26" t="str">
        <x:v>Ł. M. Mentel, mendeleev v1.1.0 ionization-energy data; NIST Atomic Spectra Database should also be cited for records carrying NIST references.</x:v>
      </x:c>
      <x:c r="Q13" s="26" t="str">
        <x:v>https://mendeleev.readthedocs.io/en/stable/data.html</x:v>
      </x:c>
      <x:c r="R13" s="26" t="str">
        <x:v>2026-07-16</x:v>
      </x:c>
      <x:c r="S13" s="26" t="str"/>
      <x:c r="T13" s="26" t="str">
        <x:v>Evidence/notice implementation pending</x:v>
      </x:c>
    </x:row>
    <x:row r="14" ht="48" customHeight="1">
      <x:c r="A14" s="26" t="str">
        <x:v>LIC-013</x:v>
      </x:c>
      <x:c r="B14" s="26" t="str">
        <x:v>SRC013</x:v>
      </x:c>
      <x:c r="C14" s="26" t="str">
        <x:v>Both</x:v>
      </x:c>
      <x:c r="D14" s="26" t="str">
        <x:v>mendeleev_element</x:v>
      </x:c>
      <x:c r="E14" s="26" t="n">
        <x:v>97</x:v>
      </x:c>
      <x:c r="F14" s="26" t="str">
        <x:v>Mendeleev Python package</x:v>
      </x:c>
      <x:c r="G14" s="26" t="str">
        <x:v>1.1.0</x:v>
      </x:c>
      <x:c r="H14" s="26" t="str">
        <x:v>mendeleev: MIT; mendeleev-data: MIT</x:v>
      </x:c>
      <x:c r="I14" s="26" t="str">
        <x:v>Main elemental table: MIT</x:v>
      </x:c>
      <x:c r="J14" s="26" t="str">
        <x:v>https://github.com/lmmentel/mendeleev-data/blob/main/LICENSE</x:v>
      </x:c>
      <x:c r="K14" s="26" t="str">
        <x:v>GREEN</x:v>
      </x:c>
      <x:c r="L14" s="26" t="str">
        <x:v>High</x:v>
      </x:c>
      <x:c r="M14" s="26" t="str">
        <x:v>Preserve MIT notice and cite Mendeleev plus property-specific sources.</x:v>
      </x:c>
      <x:c r="N14" s="26" t="str">
        <x:v>Some fields originate from third-party compilations; field-level citations remain necessary.</x:v>
      </x:c>
      <x:c r="O14" s="26" t="str">
        <x:v>Include with release/hash and attribution.</x:v>
      </x:c>
      <x:c r="P14" s="26" t="str">
        <x:v>L. M. Mentel, Mendeleev: a Python resource for properties of chemical elements, version 1.1.0.</x:v>
      </x:c>
      <x:c r="Q14" s="26" t="str">
        <x:v>https://mendeleev.readthedocs.io/</x:v>
      </x:c>
      <x:c r="R14" s="26" t="str">
        <x:v>2026-07-16</x:v>
      </x:c>
      <x:c r="S14" s="26" t="str"/>
      <x:c r="T14" s="26" t="str">
        <x:v>Evidence/notice implementation pending</x:v>
      </x:c>
    </x:row>
    <x:row r="15" ht="48" customHeight="1">
      <x:c r="A15" s="26" t="str">
        <x:v>LIC-014</x:v>
      </x:c>
      <x:c r="B15" s="26" t="str">
        <x:v>SRC014</x:v>
      </x:c>
      <x:c r="C15" s="26" t="str">
        <x:v>Both</x:v>
      </x:c>
      <x:c r="D15" s="26" t="str">
        <x:v>matminer_magpie</x:v>
      </x:c>
      <x:c r="E15" s="26" t="n">
        <x:v>93</x:v>
      </x:c>
      <x:c r="F15" s="26" t="str">
        <x:v>Magpie elemental-property lookup tables distributed with matminer</x:v>
      </x:c>
      <x:c r="G15" s="26" t="str">
        <x:v>matminer 0.10.1</x:v>
      </x:c>
      <x:c r="H15" s="26" t="str">
        <x:v>matminer: BSD-3-Clause</x:v>
      </x:c>
      <x:c r="I15" s="26" t="str">
        <x:v>Magpie lookup files are bundled with matminer; exact upstream data terms should be archived</x:v>
      </x:c>
      <x:c r="J15" s="26" t="str">
        <x:v>https://github.com/hackingmaterials/matminer/blob/main/LICENSE</x:v>
      </x:c>
      <x:c r="K15" s="26" t="str">
        <x:v>AMBER</x:v>
      </x:c>
      <x:c r="L15" s="26" t="str">
        <x:v>Medium</x:v>
      </x:c>
      <x:c r="M15" s="26" t="str">
        <x:v>Preserve BSD notice and cite Magpie and matminer.</x:v>
      </x:c>
      <x:c r="N15" s="26" t="str">
        <x:v>A software licence does not automatically resolve every third-party value imported into a lookup table.</x:v>
      </x:c>
      <x:c r="O15" s="26" t="str">
        <x:v>Identify exact Magpie asset and upstream notices; obtain IP review or switch to script-only for unresolved fields.</x:v>
      </x:c>
      <x:c r="P15" s="26" t="str">
        <x:v>L. Ward et al., npj Comput. Mater. 2, 16028 (2016), doi:10.1038/npjcompumats.2016.28; L. Ward et al., Comput. Mater. Sci. 152, 60-69 (2018), doi:10.1016/j.commatsci.2018.05.018.</x:v>
      </x:c>
      <x:c r="Q15" s="26" t="str">
        <x:v>https://hackingmaterials.lbl.gov/matminer/</x:v>
      </x:c>
      <x:c r="R15" s="26" t="str">
        <x:v>2026-07-16</x:v>
      </x:c>
      <x:c r="S15" s="26" t="str"/>
      <x:c r="T15" s="26" t="str">
        <x:v>Open</x:v>
      </x:c>
    </x:row>
    <x:row r="16" ht="48" customHeight="1">
      <x:c r="A16" s="26" t="str">
        <x:v>LIC-015</x:v>
      </x:c>
      <x:c r="B16" s="26" t="str">
        <x:v>SRC015</x:v>
      </x:c>
      <x:c r="C16" s="26" t="str">
        <x:v>Others</x:v>
      </x:c>
      <x:c r="D16" s="26" t="str">
        <x:v>emb_cgcnn</x:v>
      </x:c>
      <x:c r="E16" s="26" t="n">
        <x:v>92</x:v>
      </x:c>
      <x:c r="F16" s="26" t="str">
        <x:v>ElementEmbeddings collection</x:v>
      </x:c>
      <x:c r="G16" s="26" t="str">
        <x:v>0.8.0</x:v>
      </x:c>
      <x:c r="H16" s="26" t="str">
        <x:v>ElementEmbeddings/matminer distribution: MIT/BSD</x:v>
      </x:c>
      <x:c r="I16" s="26" t="str">
        <x:v>CGCNN repository and atom initialization vector: MIT</x:v>
      </x:c>
      <x:c r="J16" s="26" t="str">
        <x:v>https://github.com/txie-93/cgcnn/blob/master/LICENSE</x:v>
      </x:c>
      <x:c r="K16" s="26" t="str">
        <x:v>GREEN</x:v>
      </x:c>
      <x:c r="L16" s="26" t="str">
        <x:v>High</x:v>
      </x:c>
      <x:c r="M16" s="26" t="str">
        <x:v>Preserve MIT notice and cite CGCNN; cite matminer/ElementEmbeddings as distribution route.</x:v>
      </x:c>
      <x:c r="N16" s="26" t="str">
        <x:v>Record exact atom_init.json hash and source.</x:v>
      </x:c>
      <x:c r="O16" s="26" t="str">
        <x:v>Include with MIT notice and pinned file hash.</x:v>
      </x:c>
      <x:c r="P16" s="26" t="str">
        <x:v>Cite matminer for the distributed table. Primary representation source: T. Xie and J. C. Grossman, Phys. Rev. Lett. 120, 145301 (2018), doi:10.1103/PhysRevLett.120.145301.</x:v>
      </x:c>
      <x:c r="Q16" s="26" t="str">
        <x:v>https://github.com/WMD-group/ElementEmbeddings</x:v>
      </x:c>
      <x:c r="R16" s="26" t="str"/>
      <x:c r="S16" s="26" t="str"/>
      <x:c r="T16" s="26" t="str">
        <x:v>Evidence/notice implementation pending</x:v>
      </x:c>
    </x:row>
    <x:row r="17" ht="48" customHeight="1">
      <x:c r="A17" s="26" t="str">
        <x:v>LIC-016</x:v>
      </x:c>
      <x:c r="B17" s="26" t="str">
        <x:v>SRC016</x:v>
      </x:c>
      <x:c r="C17" s="26" t="str">
        <x:v>Others</x:v>
      </x:c>
      <x:c r="D17" s="26" t="str">
        <x:v>emb_cgnf</x:v>
      </x:c>
      <x:c r="E17" s="26" t="n">
        <x:v>90</x:v>
      </x:c>
      <x:c r="F17" s="26" t="str">
        <x:v>ElementEmbeddings collection</x:v>
      </x:c>
      <x:c r="G17" s="26" t="str">
        <x:v>0.8.0</x:v>
      </x:c>
      <x:c r="H17" s="26" t="str">
        <x:v>ElementEmbeddings: MIT</x:v>
      </x:c>
      <x:c r="I17" s="26" t="str">
        <x:v>No licence file was located in the official Synthesizability-stoi-CGNF repository</x:v>
      </x:c>
      <x:c r="J17" s="26" t="str">
        <x:v>https://github.com/kaist-amsg/Synthesizability-stoi-CGNF</x:v>
      </x:c>
      <x:c r="K17" s="26" t="str">
        <x:v>HOLD</x:v>
      </x:c>
      <x:c r="L17" s="26" t="str">
        <x:v>High</x:v>
      </x:c>
      <x:c r="M17" s="26" t="str">
        <x:v>No public value redistribution until permission is documented.</x:v>
      </x:c>
      <x:c r="N17" s="26" t="str">
        <x:v>Public availability without an explicit licence does not grant redistribution rights.</x:v>
      </x:c>
      <x:c r="O17" s="26" t="str">
        <x:v>Request written permission or an explicit repository licence; otherwise exclude vectors and provide acquisition/rebuild instructions only.</x:v>
      </x:c>
      <x:c r="P17" s="26" t="str">
        <x:v>C. Onwuli et al., Digital Discovery 2, 1558-1570 (2023), doi:10.1039/D3DD00121K, plus the original publication for each representation. Primary representation source: Synthesizability of materials stoichiometry using semi-supervised learning, Matter 7, 2294-2312 (2024).</x:v>
      </x:c>
      <x:c r="Q17" s="26" t="str">
        <x:v>https://github.com/WMD-group/ElementEmbeddings</x:v>
      </x:c>
      <x:c r="R17" s="26" t="str"/>
      <x:c r="S17" s="26" t="str"/>
      <x:c r="T17" s="26" t="str">
        <x:v>Open</x:v>
      </x:c>
    </x:row>
    <x:row r="18" ht="48" customHeight="1">
      <x:c r="A18" s="26" t="str">
        <x:v>LIC-017</x:v>
      </x:c>
      <x:c r="B18" s="26" t="str">
        <x:v>SRC017</x:v>
      </x:c>
      <x:c r="C18" s="26" t="str">
        <x:v>Interpretable</x:v>
      </x:c>
      <x:c r="D18" s="26" t="str">
        <x:v>mendeleev_li_xue_summary</x:v>
      </x:c>
      <x:c r="E18" s="26" t="n">
        <x:v>80</x:v>
      </x:c>
      <x:c r="F18" s="26" t="str">
        <x:v>Mendeleev ionic radii and Li–Xue electronegativity</x:v>
      </x:c>
      <x:c r="G18" s="26" t="str">
        <x:v>1.1.0</x:v>
      </x:c>
      <x:c r="H18" s="26" t="str">
        <x:v>mendeleev-data: MIT</x:v>
      </x:c>
      <x:c r="I18" s="26" t="str">
        <x:v>Li-Xue ionic electronegativity values/derivations distributed through Mendeleev</x:v>
      </x:c>
      <x:c r="J18" s="26" t="str">
        <x:v>https://github.com/lmmentel/mendeleev-data/blob/main/LICENSE</x:v>
      </x:c>
      <x:c r="K18" s="26" t="str">
        <x:v>AMBER</x:v>
      </x:c>
      <x:c r="L18" s="26" t="str">
        <x:v>Medium</x:v>
      </x:c>
      <x:c r="M18" s="26" t="str">
        <x:v>Preserve MIT notice; cite Mendeleev and original Li-Xue source.</x:v>
      </x:c>
      <x:c r="N18" s="26" t="str">
        <x:v>Condition-resolved source data and original scale publication should be tied to the exact rows used.</x:v>
      </x:c>
      <x:c r="O18" s="26" t="str">
        <x:v>Archive MIT licence and original scale citation; obtain IP confirmation for direct redistribution.</x:v>
      </x:c>
      <x:c r="P18" s="26" t="str">
        <x:v>Ł. M. Mentel, mendeleev — a Python resource for properties of chemical elements, ions and isotopes, v1.1.0; cite the original electronegativity-scale source where used.</x:v>
      </x:c>
      <x:c r="Q18" s="26" t="str">
        <x:v>https://mendeleev.readthedocs.io/en/stable/electronegativity.html</x:v>
      </x:c>
      <x:c r="R18" s="26" t="str">
        <x:v>2026-07-16</x:v>
      </x:c>
      <x:c r="S18" s="26" t="str"/>
      <x:c r="T18" s="26" t="str">
        <x:v>Open</x:v>
      </x:c>
    </x:row>
    <x:row r="19" ht="48" customHeight="1">
      <x:c r="A19" s="26" t="str">
        <x:v>LIC-018</x:v>
      </x:c>
      <x:c r="B19" s="26" t="str">
        <x:v>SRC018</x:v>
      </x:c>
      <x:c r="C19" s="26" t="str">
        <x:v>Interpretable</x:v>
      </x:c>
      <x:c r="D19" s="26" t="str">
        <x:v>mendeleev_oxidation</x:v>
      </x:c>
      <x:c r="E19" s="26" t="n">
        <x:v>78</x:v>
      </x:c>
      <x:c r="F19" s="26" t="str">
        <x:v>Mendeleev oxidation-state table</x:v>
      </x:c>
      <x:c r="G19" s="26" t="str">
        <x:v>1.1.0</x:v>
      </x:c>
      <x:c r="H19" s="26" t="str">
        <x:v>mendeleev-data: MIT</x:v>
      </x:c>
      <x:c r="I19" s="26" t="str">
        <x:v>Oxidation-state table: MIT</x:v>
      </x:c>
      <x:c r="J19" s="26" t="str">
        <x:v>https://github.com/lmmentel/mendeleev-data/blob/main/LICENSE</x:v>
      </x:c>
      <x:c r="K19" s="26" t="str">
        <x:v>GREEN</x:v>
      </x:c>
      <x:c r="L19" s="26" t="str">
        <x:v>High</x:v>
      </x:c>
      <x:c r="M19" s="26" t="str">
        <x:v>Preserve MIT notice and cite Mendeleev.</x:v>
      </x:c>
      <x:c r="N19" s="26" t="str">
        <x:v>None beyond property-specific citations.</x:v>
      </x:c>
      <x:c r="O19" s="26" t="str">
        <x:v>Include with release/hash and citations.</x:v>
      </x:c>
      <x:c r="P19" s="26" t="str">
        <x:v>L. M. Mentel, Mendeleev, version 1.1.0.</x:v>
      </x:c>
      <x:c r="Q19" s="26" t="str">
        <x:v>https://mendeleev.readthedocs.io/</x:v>
      </x:c>
      <x:c r="R19" s="26" t="str">
        <x:v>2026-07-16</x:v>
      </x:c>
      <x:c r="S19" s="26" t="str"/>
      <x:c r="T19" s="26" t="str">
        <x:v>Evidence/notice implementation pending</x:v>
      </x:c>
    </x:row>
    <x:row r="20" ht="48" customHeight="1">
      <x:c r="A20" s="26" t="str">
        <x:v>LIC-019</x:v>
      </x:c>
      <x:c r="B20" s="26" t="str">
        <x:v>SRC019</x:v>
      </x:c>
      <x:c r="C20" s="26" t="str">
        <x:v>Interpretable</x:v>
      </x:c>
      <x:c r="D20" s="26" t="str">
        <x:v>xraydb_absorption_edges; xraydb_emission_lines</x:v>
      </x:c>
      <x:c r="E20" s="26" t="n">
        <x:v>76</x:v>
      </x:c>
      <x:c r="F20" s="26" t="str">
        <x:v>XrayDB</x:v>
      </x:c>
      <x:c r="G20" s="26" t="str">
        <x:v>4.5.8</x:v>
      </x:c>
      <x:c r="H20" s="26" t="str">
        <x:v>XrayDB code and database: public domain</x:v>
      </x:c>
      <x:c r="I20" s="26" t="str">
        <x:v>Public domain, with underlying scientific references documented by XrayDB</x:v>
      </x:c>
      <x:c r="J20" s="26" t="str">
        <x:v>https://github.com/xraypy/XrayDB</x:v>
      </x:c>
      <x:c r="K20" s="26" t="str">
        <x:v>GREEN</x:v>
      </x:c>
      <x:c r="L20" s="26" t="str">
        <x:v>High</x:v>
      </x:c>
      <x:c r="M20" s="26" t="str">
        <x:v>Cite XrayDB and documented primary tabulations.</x:v>
      </x:c>
      <x:c r="N20" s="26" t="str">
        <x:v>Preserve underlying Elam/Chantler/Krause references even where no copyright notice is required.</x:v>
      </x:c>
      <x:c r="O20" s="26" t="str">
        <x:v>Include; archive XrayDB version/database hash.</x:v>
      </x:c>
      <x:c r="P20" s="26" t="str">
        <x:v>M. Newville, XrayDB v4.5.8; underlying edge/line/attenuation data compile the Elam, Chantler, Krause and related tabulations documented by XrayDB.</x:v>
      </x:c>
      <x:c r="Q20" s="26" t="str">
        <x:v>https://xraypy.github.io/XrayDB/</x:v>
      </x:c>
      <x:c r="R20" s="26" t="str">
        <x:v>2026-07-16</x:v>
      </x:c>
      <x:c r="S20" s="26" t="str"/>
      <x:c r="T20" s="26" t="str">
        <x:v>Evidence/notice implementation pending</x:v>
      </x:c>
    </x:row>
    <x:row r="21" ht="48" customHeight="1">
      <x:c r="A21" s="26" t="str">
        <x:v>LIC-020</x:v>
      </x:c>
      <x:c r="B21" s="26" t="str">
        <x:v>SRC020</x:v>
      </x:c>
      <x:c r="C21" s="26" t="str">
        <x:v>Interpretable</x:v>
      </x:c>
      <x:c r="D21" s="26" t="str">
        <x:v>mendeleev_ionization_uncertainty</x:v>
      </x:c>
      <x:c r="E21" s="26" t="n">
        <x:v>74</x:v>
      </x:c>
      <x:c r="F21" s="26" t="str">
        <x:v>Mendeleev ionization-energy table</x:v>
      </x:c>
      <x:c r="G21" s="26" t="str">
        <x:v>1.1.0</x:v>
      </x:c>
      <x:c r="H21" s="26" t="str">
        <x:v>mendeleev-data: MIT</x:v>
      </x:c>
      <x:c r="I21" s="26" t="str">
        <x:v>Ionization-energy uncertainty fields: MIT</x:v>
      </x:c>
      <x:c r="J21" s="26" t="str">
        <x:v>https://github.com/lmmentel/mendeleev-data/blob/main/LICENSE</x:v>
      </x:c>
      <x:c r="K21" s="26" t="str">
        <x:v>GREEN</x:v>
      </x:c>
      <x:c r="L21" s="26" t="str">
        <x:v>High</x:v>
      </x:c>
      <x:c r="M21" s="26" t="str">
        <x:v>Preserve MIT notice and cite Mendeleev plus original records.</x:v>
      </x:c>
      <x:c r="N21" s="26" t="str">
        <x:v>Retain NIST/field-level references.</x:v>
      </x:c>
      <x:c r="O21" s="26" t="str">
        <x:v>Include with release/hash and citations.</x:v>
      </x:c>
      <x:c r="P21" s="26" t="str">
        <x:v>Ł. M. Mentel, mendeleev — A Python resource for properties of chemical elements, ions and isotopes, version 1.1.0, 2014–. https://github.com/lmmentel/mendeleev</x:v>
      </x:c>
      <x:c r="Q21" s="26" t="str">
        <x:v>https://github.com/lmmentel/mendeleev</x:v>
      </x:c>
      <x:c r="R21" s="26" t="str">
        <x:v>2026-07-16</x:v>
      </x:c>
      <x:c r="S21" s="26" t="str"/>
      <x:c r="T21" s="26" t="str">
        <x:v>Evidence/notice implementation pending</x:v>
      </x:c>
    </x:row>
    <x:row r="22" ht="48" customHeight="1">
      <x:c r="A22" s="26" t="str">
        <x:v>LIC-021</x:v>
      </x:c>
      <x:c r="B22" s="26" t="str">
        <x:v>SRC021</x:v>
      </x:c>
      <x:c r="C22" s="26" t="str">
        <x:v>Both</x:v>
      </x:c>
      <x:c r="D22" s="26" t="str">
        <x:v>xenonpy_original</x:v>
      </x:c>
      <x:c r="E22" s="26" t="n">
        <x:v>72</x:v>
      </x:c>
      <x:c r="F22" s="26" t="str">
        <x:v>XenonPy (user-supplied element_data.csv)</x:v>
      </x:c>
      <x:c r="G22" s="26" t="str">
        <x:v>source file supplied by user</x:v>
      </x:c>
      <x:c r="H22" s="26" t="str">
        <x:v>XenonPy: BSD-3-Clause</x:v>
      </x:c>
      <x:c r="I22" s="26" t="str">
        <x:v>User-supplied derived element_data.csv; exact XenonPy version/source file not embedded</x:v>
      </x:c>
      <x:c r="J22" s="26" t="str">
        <x:v>https://github.com/yoshida-lab/XenonPy/blob/master/LICENSE</x:v>
      </x:c>
      <x:c r="K22" s="26" t="str">
        <x:v>AMBER</x:v>
      </x:c>
      <x:c r="L22" s="26" t="str">
        <x:v>Medium</x:v>
      </x:c>
      <x:c r="M22" s="26" t="str">
        <x:v>Preserve BSD notice and property-specific citations.</x:v>
      </x:c>
      <x:c r="N22" s="26" t="str">
        <x:v>The precise origin, version, and whether any columns came from third-party tables are not yet evidenced.</x:v>
      </x:c>
      <x:c r="O22" s="26" t="str">
        <x:v>Identify the exact XenonPy release/file/commit and original asset hash; otherwise replace by a reproducibly fetched source.</x:v>
      </x:c>
      <x:c r="P22" s="26" t="str">
        <x:v>XenonPy project and the feature-specific references listed in its documentation.</x:v>
      </x:c>
      <x:c r="Q22" s="26" t="str">
        <x:v>https://github.com/yoshida-lab/XenonPy</x:v>
      </x:c>
      <x:c r="R22" s="26" t="str">
        <x:v>2026-07-16</x:v>
      </x:c>
      <x:c r="S22" s="26" t="str"/>
      <x:c r="T22" s="26" t="str">
        <x:v>Open</x:v>
      </x:c>
    </x:row>
    <x:row r="23" ht="48" customHeight="1">
      <x:c r="A23" s="26" t="str">
        <x:v>LIC-022</x:v>
      </x:c>
      <x:c r="B23" s="26" t="str">
        <x:v>SRC022</x:v>
      </x:c>
      <x:c r="C23" s="26" t="str">
        <x:v>Interpretable</x:v>
      </x:c>
      <x:c r="D23" s="26" t="str">
        <x:v>mendeleev_ionization</x:v>
      </x:c>
      <x:c r="E23" s="26" t="n">
        <x:v>67</x:v>
      </x:c>
      <x:c r="F23" s="26" t="str">
        <x:v>Mendeleev ionization-energy table</x:v>
      </x:c>
      <x:c r="G23" s="26" t="str">
        <x:v>1.1.0</x:v>
      </x:c>
      <x:c r="H23" s="26" t="str">
        <x:v>mendeleev-data: MIT</x:v>
      </x:c>
      <x:c r="I23" s="26" t="str">
        <x:v>Ionization energies: MIT</x:v>
      </x:c>
      <x:c r="J23" s="26" t="str">
        <x:v>https://github.com/lmmentel/mendeleev-data/blob/main/LICENSE</x:v>
      </x:c>
      <x:c r="K23" s="26" t="str">
        <x:v>GREEN</x:v>
      </x:c>
      <x:c r="L23" s="26" t="str">
        <x:v>High</x:v>
      </x:c>
      <x:c r="M23" s="26" t="str">
        <x:v>Preserve MIT notice; cite Mendeleev and original records.</x:v>
      </x:c>
      <x:c r="N23" s="26" t="str">
        <x:v>Retain record-level original citations.</x:v>
      </x:c>
      <x:c r="O23" s="26" t="str">
        <x:v>Include with release/hash and citations.</x:v>
      </x:c>
      <x:c r="P23" s="26" t="str">
        <x:v>L. M. Mentel, Mendeleev, version 1.1.0.</x:v>
      </x:c>
      <x:c r="Q23" s="26" t="str">
        <x:v>https://mendeleev.readthedocs.io/</x:v>
      </x:c>
      <x:c r="R23" s="26" t="str">
        <x:v>2026-07-16</x:v>
      </x:c>
      <x:c r="S23" s="26" t="str"/>
      <x:c r="T23" s="26" t="str">
        <x:v>Evidence/notice implementation pending</x:v>
      </x:c>
    </x:row>
    <x:row r="24" ht="48" customHeight="1">
      <x:c r="A24" s="26" t="str">
        <x:v>LIC-023</x:v>
      </x:c>
      <x:c r="B24" s="26" t="str">
        <x:v>SRC023</x:v>
      </x:c>
      <x:c r="C24" s="26" t="str">
        <x:v>Others</x:v>
      </x:c>
      <x:c r="D24" s="26" t="str">
        <x:v>emb_chgnet</x:v>
      </x:c>
      <x:c r="E24" s="26" t="n">
        <x:v>64</x:v>
      </x:c>
      <x:c r="F24" s="26" t="str">
        <x:v>ElementEmbeddings collection</x:v>
      </x:c>
      <x:c r="G24" s="26" t="str">
        <x:v>0.8.0</x:v>
      </x:c>
      <x:c r="H24" s="26" t="str">
        <x:v>ElementEmbeddings: MIT</x:v>
      </x:c>
      <x:c r="I24" s="26" t="str">
        <x:v>CHGNet code and pretrained model distribution: Modified BSD</x:v>
      </x:c>
      <x:c r="J24" s="26" t="str">
        <x:v>https://github.com/CederGroupHub/chgnet/blob/main/LICENSE</x:v>
      </x:c>
      <x:c r="K24" s="26" t="str">
        <x:v>GREEN</x:v>
      </x:c>
      <x:c r="L24" s="26" t="str">
        <x:v>High</x:v>
      </x:c>
      <x:c r="M24" s="26" t="str">
        <x:v>Preserve Modified BSD notice and cite CHGNet and ElementEmbeddings.</x:v>
      </x:c>
      <x:c r="N24" s="26" t="str">
        <x:v>Pin exact checkpoint and model hash.</x:v>
      </x:c>
      <x:c r="O24" s="26" t="str">
        <x:v>Include with BSD notice and exact checkpoint metadata.</x:v>
      </x:c>
      <x:c r="P24" s="26" t="str">
        <x:v>C. Onwuli et al., Digital Discovery 2, 1558-1570 (2023), doi:10.1039/D3DD00121K, plus the original publication for each representation. Primary representation source: B. Deng et al., Nat. Mach. Intell. 5, 1031-1041 (2023), doi:10.1038/s42256-023-00716-3.</x:v>
      </x:c>
      <x:c r="Q24" s="26" t="str">
        <x:v>https://github.com/WMD-group/ElementEmbeddings</x:v>
      </x:c>
      <x:c r="R24" s="26" t="str"/>
      <x:c r="S24" s="26" t="str"/>
      <x:c r="T24" s="26" t="str">
        <x:v>Evidence/notice implementation pending</x:v>
      </x:c>
    </x:row>
    <x:row r="25" ht="48" customHeight="1">
      <x:c r="A25" s="26" t="str">
        <x:v>LIC-024</x:v>
      </x:c>
      <x:c r="B25" s="26" t="str">
        <x:v>SRC024</x:v>
      </x:c>
      <x:c r="C25" s="26" t="str">
        <x:v>Interpretable</x:v>
      </x:c>
      <x:c r="D25" s="26" t="str">
        <x:v>matminer_deml</x:v>
      </x:c>
      <x:c r="E25" s="26" t="n">
        <x:v>62</x:v>
      </x:c>
      <x:c r="F25" s="26" t="str">
        <x:v>Deml elemental data distributed with matminer</x:v>
      </x:c>
      <x:c r="G25" s="26" t="str">
        <x:v>matminer 0.10.1</x:v>
      </x:c>
      <x:c r="H25" s="26" t="str">
        <x:v>matminer: BSD-3-Clause</x:v>
      </x:c>
      <x:c r="I25" s="26" t="str">
        <x:v>Deml table bundled with matminer; no separate asset-level licence evidenced in the current package</x:v>
      </x:c>
      <x:c r="J25" s="26" t="str">
        <x:v>https://github.com/hackingmaterials/matminer/blob/main/LICENSE</x:v>
      </x:c>
      <x:c r="K25" s="26" t="str">
        <x:v>AMBER</x:v>
      </x:c>
      <x:c r="L25" s="26" t="str">
        <x:v>Medium</x:v>
      </x:c>
      <x:c r="M25" s="26" t="str">
        <x:v>Preserve BSD notice and cite Deml and matminer.</x:v>
      </x:c>
      <x:c r="N25" s="26" t="str">
        <x:v>Underlying tabulated values are sourced from the Deml publication and may not be independently licensed.</x:v>
      </x:c>
      <x:c r="O25" s="26" t="str">
        <x:v>Archive the exact bundled file and provenance; obtain institutional IP review or publish a reconstruction script.</x:v>
      </x:c>
      <x:c r="P25" s="26" t="str">
        <x:v>A. M. Deml et al., Phys. Rev. B 93, 085142 (2016), doi:10.1103/PhysRevB.93.085142; cite matminer as the software source.</x:v>
      </x:c>
      <x:c r="Q25" s="26" t="str">
        <x:v>https://hackingmaterials.lbl.gov/matminer/</x:v>
      </x:c>
      <x:c r="R25" s="26" t="str">
        <x:v>2026-07-16</x:v>
      </x:c>
      <x:c r="S25" s="26" t="str"/>
      <x:c r="T25" s="26" t="str">
        <x:v>Open</x:v>
      </x:c>
    </x:row>
    <x:row r="26" ht="48" customHeight="1">
      <x:c r="A26" s="26" t="str">
        <x:v>LIC-025</x:v>
      </x:c>
      <x:c r="B26" s="26" t="str">
        <x:v>SRC025</x:v>
      </x:c>
      <x:c r="C26" s="26" t="str">
        <x:v>Both</x:v>
      </x:c>
      <x:c r="D26" s="26" t="str">
        <x:v>mendeleev_isotope</x:v>
      </x:c>
      <x:c r="E26" s="26" t="n">
        <x:v>62</x:v>
      </x:c>
      <x:c r="F26" s="26" t="str">
        <x:v>Mendeleev isotope table</x:v>
      </x:c>
      <x:c r="G26" s="26" t="str">
        <x:v>1.1.0</x:v>
      </x:c>
      <x:c r="H26" s="26" t="str">
        <x:v>mendeleev-data: MIT</x:v>
      </x:c>
      <x:c r="I26" s="26" t="str">
        <x:v>Isotope table: MIT</x:v>
      </x:c>
      <x:c r="J26" s="26" t="str">
        <x:v>https://github.com/lmmentel/mendeleev-data/blob/main/LICENSE</x:v>
      </x:c>
      <x:c r="K26" s="26" t="str">
        <x:v>GREEN</x:v>
      </x:c>
      <x:c r="L26" s="26" t="str">
        <x:v>Medium</x:v>
      </x:c>
      <x:c r="M26" s="26" t="str">
        <x:v>Preserve MIT notice; cite Mendeleev and relevant IUPAC/Kondev/Stone sources.</x:v>
      </x:c>
      <x:c r="N26" s="26" t="str">
        <x:v>Multiple third-party nuclear compilations contribute field values; preserve field-level citations.</x:v>
      </x:c>
      <x:c r="O26" s="26" t="str">
        <x:v>Include with release/hash and detailed attribution.</x:v>
      </x:c>
      <x:c r="P26" s="26" t="str">
        <x:v>L. M. Mentel, Mendeleev, version 1.1.0.</x:v>
      </x:c>
      <x:c r="Q26" s="26" t="str">
        <x:v>https://mendeleev.readthedocs.io/</x:v>
      </x:c>
      <x:c r="R26" s="26" t="str">
        <x:v>2026-07-16</x:v>
      </x:c>
      <x:c r="S26" s="26" t="str"/>
      <x:c r="T26" s="26" t="str">
        <x:v>Evidence/notice implementation pending</x:v>
      </x:c>
    </x:row>
    <x:row r="27" ht="48" customHeight="1">
      <x:c r="A27" s="26" t="str">
        <x:v>LIC-026</x:v>
      </x:c>
      <x:c r="B27" s="26" t="str">
        <x:v>SRC026</x:v>
      </x:c>
      <x:c r="C27" s="26" t="str">
        <x:v>Interpretable</x:v>
      </x:c>
      <x:c r="D27" s="26" t="str">
        <x:v>mendeleev_isotope_decay_modes</x:v>
      </x:c>
      <x:c r="E27" s="26" t="n">
        <x:v>47</x:v>
      </x:c>
      <x:c r="F27" s="26" t="str">
        <x:v>Mendeleev isotope decay-mode table</x:v>
      </x:c>
      <x:c r="G27" s="26" t="str">
        <x:v>1.1.0</x:v>
      </x:c>
      <x:c r="H27" s="26" t="str">
        <x:v>mendeleev-data: MIT</x:v>
      </x:c>
      <x:c r="I27" s="26" t="str">
        <x:v>Isotope decay-mode table: MIT</x:v>
      </x:c>
      <x:c r="J27" s="26" t="str">
        <x:v>https://github.com/lmmentel/mendeleev-data/blob/main/LICENSE</x:v>
      </x:c>
      <x:c r="K27" s="26" t="str">
        <x:v>GREEN</x:v>
      </x:c>
      <x:c r="L27" s="26" t="str">
        <x:v>Medium</x:v>
      </x:c>
      <x:c r="M27" s="26" t="str">
        <x:v>Preserve MIT notice and cite Mendeleev plus decay-data source.</x:v>
      </x:c>
      <x:c r="N27" s="26" t="str">
        <x:v>Retain Kondev and record-level source references.</x:v>
      </x:c>
      <x:c r="O27" s="26" t="str">
        <x:v>Include with release/hash and detailed attribution.</x:v>
      </x:c>
      <x:c r="P27" s="26" t="str">
        <x:v>Ł. M. Mentel, mendeleev — A Python resource for properties of chemical elements, ions and isotopes, version 1.1.0, 2014–. https://github.com/lmmentel/mendeleev; Mendeleev metadata cites Kondev2021 for decay-mode information.</x:v>
      </x:c>
      <x:c r="Q27" s="26" t="str">
        <x:v>https://github.com/lmmentel/mendeleev</x:v>
      </x:c>
      <x:c r="R27" s="26" t="str">
        <x:v>2026-07-16</x:v>
      </x:c>
      <x:c r="S27" s="26" t="str"/>
      <x:c r="T27" s="26" t="str">
        <x:v>Evidence/notice implementation pending</x:v>
      </x:c>
    </x:row>
    <x:row r="28" ht="48" customHeight="1">
      <x:c r="A28" s="26" t="str">
        <x:v>LIC-027</x:v>
      </x:c>
      <x:c r="B28" s="26" t="str">
        <x:v>SRC027</x:v>
      </x:c>
      <x:c r="C28" s="26" t="str">
        <x:v>Interpretable</x:v>
      </x:c>
      <x:c r="D28" s="26" t="str">
        <x:v>mendeleev_phase</x:v>
      </x:c>
      <x:c r="E28" s="26" t="n">
        <x:v>46</x:v>
      </x:c>
      <x:c r="F28" s="26" t="str">
        <x:v>Mendeleev phase-transition table</x:v>
      </x:c>
      <x:c r="G28" s="26" t="str">
        <x:v>1.1.0</x:v>
      </x:c>
      <x:c r="H28" s="26" t="str">
        <x:v>mendeleev-data: MIT</x:v>
      </x:c>
      <x:c r="I28" s="26" t="str">
        <x:v>Phase-transition table: MIT</x:v>
      </x:c>
      <x:c r="J28" s="26" t="str">
        <x:v>https://github.com/lmmentel/mendeleev-data/blob/main/LICENSE</x:v>
      </x:c>
      <x:c r="K28" s="26" t="str">
        <x:v>GREEN</x:v>
      </x:c>
      <x:c r="L28" s="26" t="str">
        <x:v>Medium</x:v>
      </x:c>
      <x:c r="M28" s="26" t="str">
        <x:v>Preserve MIT notice and citation metadata.</x:v>
      </x:c>
      <x:c r="N28" s="26" t="str">
        <x:v>Individual values may come from multiple third-party references and reference states.</x:v>
      </x:c>
      <x:c r="O28" s="26" t="str">
        <x:v>Include with source-level and property-level citations.</x:v>
      </x:c>
      <x:c r="P28" s="26" t="str">
        <x:v>L. M. Mentel, Mendeleev, version 1.1.0.</x:v>
      </x:c>
      <x:c r="Q28" s="26" t="str">
        <x:v>https://mendeleev.readthedocs.io/</x:v>
      </x:c>
      <x:c r="R28" s="26" t="str">
        <x:v>2026-07-16</x:v>
      </x:c>
      <x:c r="S28" s="26" t="str"/>
      <x:c r="T28" s="26" t="str">
        <x:v>Evidence/notice implementation pending</x:v>
      </x:c>
    </x:row>
    <x:row r="29" ht="48" customHeight="1">
      <x:c r="A29" s="26" t="str">
        <x:v>LIC-028</x:v>
      </x:c>
      <x:c r="B29" s="26" t="str">
        <x:v>SRC028</x:v>
      </x:c>
      <x:c r="C29" s="26" t="str">
        <x:v>Both</x:v>
      </x:c>
      <x:c r="D29" s="26" t="str">
        <x:v>emb_oliynyk44</x:v>
      </x:c>
      <x:c r="E29" s="26" t="n">
        <x:v>44</x:v>
      </x:c>
      <x:c r="F29" s="26" t="str">
        <x:v>ElementEmbeddings collection</x:v>
      </x:c>
      <x:c r="G29" s="26" t="str">
        <x:v>0.8.0</x:v>
      </x:c>
      <x:c r="H29" s="26" t="str">
        <x:v>ElementEmbeddings: MIT</x:v>
      </x:c>
      <x:c r="I29" s="26" t="str">
        <x:v>Oliynyk 44-dimensional file is bundled in ElementEmbeddings; original property-table rights not independently evidenced</x:v>
      </x:c>
      <x:c r="J29" s="26" t="str">
        <x:v>https://github.com/WMD-group/ElementEmbeddings/blob/main/LICENSE.md</x:v>
      </x:c>
      <x:c r="K29" s="26" t="str">
        <x:v>AMBER</x:v>
      </x:c>
      <x:c r="L29" s="26" t="str">
        <x:v>Medium</x:v>
      </x:c>
      <x:c r="M29" s="26" t="str">
        <x:v>Cite ElementEmbeddings and Oliynyk; retain any dataset-specific attribution.</x:v>
      </x:c>
      <x:c r="N29" s="26" t="str">
        <x:v>The bundled MIT licence is clear for the repository, but the exact provenance and reuse terms of all underlying property values should be confirmed.</x:v>
      </x:c>
      <x:c r="O29" s="26" t="str">
        <x:v>Pin the exact file/hash, preserve MIT notice, and obtain confirmation or use the openly licensed 2024 dataset where equivalent.</x:v>
      </x:c>
      <x:c r="P29" s="26" t="str">
        <x:v>C. Onwuli et al., Digital Discovery 2, 1558-1570 (2023), doi:10.1039/D3DD00121K, plus the original publication for each representation. Primary representation source: A. O. Oliynyk et al., Chem. Mater. 28, 7324-7331 (2016), doi:10.1021/acs.chemmater.6b02724.</x:v>
      </x:c>
      <x:c r="Q29" s="26" t="str">
        <x:v>https://github.com/WMD-group/ElementEmbeddings</x:v>
      </x:c>
      <x:c r="R29" s="26" t="str">
        <x:v>2026-07-16</x:v>
      </x:c>
      <x:c r="S29" s="26" t="str"/>
      <x:c r="T29" s="26" t="str">
        <x:v>Open</x:v>
      </x:c>
    </x:row>
    <x:row r="30" ht="48" customHeight="1">
      <x:c r="A30" s="26" t="str">
        <x:v>LIC-029</x:v>
      </x:c>
      <x:c r="B30" s="26" t="str">
        <x:v>SRC029</x:v>
      </x:c>
      <x:c r="C30" s="26" t="str">
        <x:v>Interpretable</x:v>
      </x:c>
      <x:c r="D30" s="26" t="str">
        <x:v>mendeleev_isotope_extended</x:v>
      </x:c>
      <x:c r="E30" s="26" t="n">
        <x:v>40</x:v>
      </x:c>
      <x:c r="F30" s="26" t="str">
        <x:v>Mendeleev isotope table</x:v>
      </x:c>
      <x:c r="G30" s="26" t="str">
        <x:v>1.1.0</x:v>
      </x:c>
      <x:c r="H30" s="26" t="str">
        <x:v>mendeleev-data: MIT</x:v>
      </x:c>
      <x:c r="I30" s="26" t="str">
        <x:v>Extended isotope fields: MIT</x:v>
      </x:c>
      <x:c r="J30" s="26" t="str">
        <x:v>https://github.com/lmmentel/mendeleev-data/blob/main/LICENSE</x:v>
      </x:c>
      <x:c r="K30" s="26" t="str">
        <x:v>GREEN</x:v>
      </x:c>
      <x:c r="L30" s="26" t="str">
        <x:v>Medium</x:v>
      </x:c>
      <x:c r="M30" s="26" t="str">
        <x:v>Preserve MIT notice and cite contributing compilations.</x:v>
      </x:c>
      <x:c r="N30" s="26" t="str">
        <x:v>Multiple third-party nuclear compilations; detailed attribution required.</x:v>
      </x:c>
      <x:c r="O30" s="26" t="str">
        <x:v>Include with field-level citations and release/hash.</x:v>
      </x:c>
      <x:c r="P30" s="26" t="str">
        <x:v>Ł. M. Mentel, mendeleev — A Python resource for properties of chemical elements, ions and isotopes, version 1.1.0, 2014–. https://github.com/lmmentel/mendeleev; isotope data citation keys in Mendeleev metadata include Kondev2021, IUPAC masses, and Stone nuclear moment compilations depending on the field.</x:v>
      </x:c>
      <x:c r="Q30" s="26" t="str">
        <x:v>https://github.com/lmmentel/mendeleev</x:v>
      </x:c>
      <x:c r="R30" s="26" t="str">
        <x:v>2026-07-16</x:v>
      </x:c>
      <x:c r="S30" s="26" t="str"/>
      <x:c r="T30" s="26" t="str">
        <x:v>Evidence/notice implementation pending</x:v>
      </x:c>
    </x:row>
    <x:row r="31" ht="48" customHeight="1">
      <x:c r="A31" s="26" t="str">
        <x:v>LIC-030</x:v>
      </x:c>
      <x:c r="B31" s="26" t="str">
        <x:v>SRC030</x:v>
      </x:c>
      <x:c r="C31" s="26" t="str">
        <x:v>Interpretable</x:v>
      </x:c>
      <x:c r="D31" s="26" t="str">
        <x:v>mendeleev_effective_nuclear_charge</x:v>
      </x:c>
      <x:c r="E31" s="26" t="n">
        <x:v>34</x:v>
      </x:c>
      <x:c r="F31" s="26" t="str">
        <x:v>Mendeleev</x:v>
      </x:c>
      <x:c r="G31" s="26" t="str">
        <x:v>1.1.0</x:v>
      </x:c>
      <x:c r="H31" s="26" t="str">
        <x:v>mendeleev: MIT</x:v>
      </x:c>
      <x:c r="I31" s="26" t="str">
        <x:v>Computed effective nuclear charge values derived by the package</x:v>
      </x:c>
      <x:c r="J31" s="26" t="str">
        <x:v>https://github.com/lmmentel/mendeleev/blob/master/LICENSE</x:v>
      </x:c>
      <x:c r="K31" s="26" t="str">
        <x:v>GREEN</x:v>
      </x:c>
      <x:c r="L31" s="26" t="str">
        <x:v>High</x:v>
      </x:c>
      <x:c r="M31" s="26" t="str">
        <x:v>Preserve MIT notice and cite Mendeleev/method sources.</x:v>
      </x:c>
      <x:c r="N31" s="26" t="str">
        <x:v>Record method/parameters and original scale references.</x:v>
      </x:c>
      <x:c r="O31" s="26" t="str">
        <x:v>Include with derivation metadata.</x:v>
      </x:c>
      <x:c r="P31" s="26" t="str">
        <x:v>Ł. M. Mentel, mendeleev — a Python resource for properties of chemical elements, ions and isotopes, v1.1.0; cite the original electronegativity-scale source where used.</x:v>
      </x:c>
      <x:c r="Q31" s="26" t="str">
        <x:v>https://mendeleev.readthedocs.io/en/stable/electronic-configuration.html</x:v>
      </x:c>
      <x:c r="R31" s="26" t="str">
        <x:v>2026-07-16</x:v>
      </x:c>
      <x:c r="S31" s="26" t="str"/>
      <x:c r="T31" s="26" t="str">
        <x:v>Evidence/notice implementation pending</x:v>
      </x:c>
    </x:row>
    <x:row r="32" ht="48" customHeight="1">
      <x:c r="A32" s="26" t="str">
        <x:v>LIC-031</x:v>
      </x:c>
      <x:c r="B32" s="26" t="str">
        <x:v>SRC031</x:v>
      </x:c>
      <x:c r="C32" s="26" t="str">
        <x:v>Interpretable</x:v>
      </x:c>
      <x:c r="D32" s="26" t="str">
        <x:v>xraydb_mass_attenuation</x:v>
      </x:c>
      <x:c r="E32" s="26" t="n">
        <x:v>28</x:v>
      </x:c>
      <x:c r="F32" s="26" t="str">
        <x:v>XrayDB / Elam tables</x:v>
      </x:c>
      <x:c r="G32" s="26" t="str">
        <x:v>4.5.8</x:v>
      </x:c>
      <x:c r="H32" s="26" t="str">
        <x:v>XrayDB code and database: public domain</x:v>
      </x:c>
      <x:c r="I32" s="26" t="str">
        <x:v>Public domain</x:v>
      </x:c>
      <x:c r="J32" s="26" t="str">
        <x:v>https://github.com/xraypy/XrayDB</x:v>
      </x:c>
      <x:c r="K32" s="26" t="str">
        <x:v>GREEN</x:v>
      </x:c>
      <x:c r="L32" s="26" t="str">
        <x:v>High</x:v>
      </x:c>
      <x:c r="M32" s="26" t="str">
        <x:v>Cite XrayDB and primary attenuation data sources.</x:v>
      </x:c>
      <x:c r="N32" s="26" t="str">
        <x:v>Underlying tabulations still require scientific citation.</x:v>
      </x:c>
      <x:c r="O32" s="26" t="str">
        <x:v>Include with version/database hash.</x:v>
      </x:c>
      <x:c r="P32" s="26" t="str">
        <x:v>M. Newville, XrayDB v4.5.8; underlying edge/line/attenuation data compile the Elam, Chantler, Krause and related tabulations documented by XrayDB.</x:v>
      </x:c>
      <x:c r="Q32" s="26" t="str">
        <x:v>https://xraypy.github.io/XrayDB/</x:v>
      </x:c>
      <x:c r="R32" s="26" t="str">
        <x:v>2026-07-16</x:v>
      </x:c>
      <x:c r="S32" s="26" t="str"/>
      <x:c r="T32" s="26" t="str">
        <x:v>Evidence/notice implementation pending</x:v>
      </x:c>
    </x:row>
    <x:row r="33" ht="48" customHeight="1">
      <x:c r="A33" s="26" t="str">
        <x:v>LIC-032</x:v>
      </x:c>
      <x:c r="B33" s="26" t="str">
        <x:v>SRC032</x:v>
      </x:c>
      <x:c r="C33" s="26" t="str">
        <x:v>Interpretable</x:v>
      </x:c>
      <x:c r="D33" s="26" t="str">
        <x:v>mendeleev_derived</x:v>
      </x:c>
      <x:c r="E33" s="26" t="n">
        <x:v>24</x:v>
      </x:c>
      <x:c r="F33" s="26" t="str">
        <x:v>Mendeleev Python package; derived in this work</x:v>
      </x:c>
      <x:c r="G33" s="26" t="str">
        <x:v>1.1.0</x:v>
      </x:c>
      <x:c r="H33" s="26" t="str">
        <x:v>mendeleev-data: MIT; original derivation code in this project</x:v>
      </x:c>
      <x:c r="I33" s="26" t="str">
        <x:v>Transparent derived features; new selection/arrangement may be released under the project's data licence subject to upstream terms</x:v>
      </x:c>
      <x:c r="J33" s="26" t="str">
        <x:v>https://github.com/lmmentel/mendeleev-data/blob/main/LICENSE</x:v>
      </x:c>
      <x:c r="K33" s="26" t="str">
        <x:v>GREEN</x:v>
      </x:c>
      <x:c r="L33" s="26" t="str">
        <x:v>High</x:v>
      </x:c>
      <x:c r="M33" s="26" t="str">
        <x:v>Cite Mendeleev and describe formulas.</x:v>
      </x:c>
      <x:c r="N33" s="26" t="str">
        <x:v>Formula and inputs must be published so values are independently reproducible.</x:v>
      </x:c>
      <x:c r="O33" s="26" t="str">
        <x:v>Include; license project-authored code/metadata separately and retain upstream attribution.</x:v>
      </x:c>
      <x:c r="P33" s="26" t="str">
        <x:v>L. M. Mentel, Mendeleev, version 1.1.0.</x:v>
      </x:c>
      <x:c r="Q33" s="26" t="str">
        <x:v>https://mendeleev.readthedocs.io/</x:v>
      </x:c>
      <x:c r="R33" s="26" t="str">
        <x:v>2026-07-16</x:v>
      </x:c>
      <x:c r="S33" s="26" t="str"/>
      <x:c r="T33" s="26" t="str">
        <x:v>Evidence/notice implementation pending</x:v>
      </x:c>
    </x:row>
    <x:row r="34" ht="48" customHeight="1">
      <x:c r="A34" s="26" t="str">
        <x:v>LIC-033</x:v>
      </x:c>
      <x:c r="B34" s="26" t="str">
        <x:v>SRC033</x:v>
      </x:c>
      <x:c r="C34" s="26" t="str">
        <x:v>Interpretable</x:v>
      </x:c>
      <x:c r="D34" s="26" t="str">
        <x:v>nist_atomic_orbital_lda; nist_atomic_orbital_lda_derived</x:v>
      </x:c>
      <x:c r="E34" s="26" t="n">
        <x:v>23</x:v>
      </x:c>
      <x:c r="F34" s="26" t="str">
        <x:v>NIST Atomic Reference Data via pymatgen-core</x:v>
      </x:c>
      <x:c r="G34" s="26" t="str">
        <x:v>2026.7.16</x:v>
      </x:c>
      <x:c r="H34" s="26" t="str">
        <x:v>pymatgen: MIT; NIST works generally not copyrighted in the United States</x:v>
      </x:c>
      <x:c r="I34" s="26" t="str">
        <x:v>NIST atomic reference data with NIST reuse statement; distributed via pymatgen</x:v>
      </x:c>
      <x:c r="J34" s="26" t="str">
        <x:v>https://www.nist.gov/open/license</x:v>
      </x:c>
      <x:c r="K34" s="26" t="str">
        <x:v>GREEN</x:v>
      </x:c>
      <x:c r="L34" s="26" t="str">
        <x:v>High</x:v>
      </x:c>
      <x:c r="M34" s="26" t="str">
        <x:v>Cite NIST and pymatgen; include 'Republished courtesy of NIST' where applicable.</x:v>
      </x:c>
      <x:c r="N34" s="26" t="str">
        <x:v>Some NIST pages may include third-party works; use the cited NIST-authored atomic table and preserve the requested courtesy citation.</x:v>
      </x:c>
      <x:c r="O34" s="26" t="str">
        <x:v>Include with NIST statement, pymatgen MIT notice, exact pymatgen version/hash.</x:v>
      </x:c>
      <x:c r="P34" s="26" t="str">
        <x:v>NIST Atomic Reference Data for Electronic Structure Calculations (neutral-atom LDA orbital eigenvalues), distributed in pymatgen-core; cite NIST and pymatgen.</x:v>
      </x:c>
      <x:c r="Q34" s="26" t="str">
        <x:v>https://www.nist.gov/pml/atomic-reference-data-electronic-structure-calculations</x:v>
      </x:c>
      <x:c r="R34" s="26" t="str">
        <x:v>2026-07-16</x:v>
      </x:c>
      <x:c r="S34" s="26" t="str"/>
      <x:c r="T34" s="26" t="str">
        <x:v>Evidence/notice implementation pending</x:v>
      </x:c>
    </x:row>
    <x:row r="35" ht="48" customHeight="1">
      <x:c r="A35" s="26" t="str">
        <x:v>LIC-034</x:v>
      </x:c>
      <x:c r="B35" s="26" t="str">
        <x:v>SRC034</x:v>
      </x:c>
      <x:c r="C35" s="26" t="str">
        <x:v>Both</x:v>
      </x:c>
      <x:c r="D35" s="26" t="str">
        <x:v>emb_magpie22</x:v>
      </x:c>
      <x:c r="E35" s="26" t="n">
        <x:v>22</x:v>
      </x:c>
      <x:c r="F35" s="26" t="str">
        <x:v>ElementEmbeddings collection</x:v>
      </x:c>
      <x:c r="G35" s="26" t="str">
        <x:v>0.8.0</x:v>
      </x:c>
      <x:c r="H35" s="26" t="str">
        <x:v>ElementEmbeddings: MIT</x:v>
      </x:c>
      <x:c r="I35" s="26" t="str">
        <x:v>Magpie 22-dimensional file bundled in ElementEmbeddings; upstream table terms need closure</x:v>
      </x:c>
      <x:c r="J35" s="26" t="str">
        <x:v>https://github.com/WMD-group/ElementEmbeddings/blob/main/LICENSE.md</x:v>
      </x:c>
      <x:c r="K35" s="26" t="str">
        <x:v>AMBER</x:v>
      </x:c>
      <x:c r="L35" s="26" t="str">
        <x:v>Medium</x:v>
      </x:c>
      <x:c r="M35" s="26" t="str">
        <x:v>Cite ElementEmbeddings and Magpie.</x:v>
      </x:c>
      <x:c r="N35" s="26" t="str">
        <x:v>Same upstream lookup-table issue as full Magpie.</x:v>
      </x:c>
      <x:c r="O35" s="26" t="str">
        <x:v>Pin file/hash and verify upstream Magpie data reuse; preserve MIT notice and citations.</x:v>
      </x:c>
      <x:c r="P35" s="26" t="str">
        <x:v>C. Onwuli et al., Digital Discovery 2, 1558-1570 (2023), doi:10.1039/D3DD00121K, plus the original publication for each representation. Primary representation source: L. Ward et al., npj Comput. Mater. 2, 16028 (2016), doi:10.1038/npjcompumats.2016.28.</x:v>
      </x:c>
      <x:c r="Q35" s="26" t="str">
        <x:v>https://github.com/WMD-group/ElementEmbeddings</x:v>
      </x:c>
      <x:c r="R35" s="26" t="str">
        <x:v>2026-07-16</x:v>
      </x:c>
      <x:c r="S35" s="26" t="str"/>
      <x:c r="T35" s="26" t="str">
        <x:v>Open</x:v>
      </x:c>
    </x:row>
    <x:row r="36" ht="48" customHeight="1">
      <x:c r="A36" s="26" t="str">
        <x:v>LIC-035</x:v>
      </x:c>
      <x:c r="B36" s="26" t="str">
        <x:v>SRC035</x:v>
      </x:c>
      <x:c r="C36" s="26" t="str">
        <x:v>Others</x:v>
      </x:c>
      <x:c r="D36" s="26" t="str">
        <x:v>matminer_miedema</x:v>
      </x:c>
      <x:c r="E36" s="26" t="n">
        <x:v>21</x:v>
      </x:c>
      <x:c r="F36" s="26" t="str">
        <x:v>Miedema tables distributed with matminer</x:v>
      </x:c>
      <x:c r="G36" s="26" t="str">
        <x:v>matminer 0.10.1</x:v>
      </x:c>
      <x:c r="H36" s="26" t="str">
        <x:v>matminer: BSD-3-Clause</x:v>
      </x:c>
      <x:c r="I36" s="26" t="str">
        <x:v>Miedema parameter tables have no separately documented open-data licence in the current evidence set</x:v>
      </x:c>
      <x:c r="J36" s="26" t="str">
        <x:v>https://github.com/hackingmaterials/matminer/blob/main/LICENSE</x:v>
      </x:c>
      <x:c r="K36" s="26" t="str">
        <x:v>HOLD</x:v>
      </x:c>
      <x:c r="L36" s="26" t="str">
        <x:v>High</x:v>
      </x:c>
      <x:c r="M36" s="26" t="str">
        <x:v>No public value redistribution while HOLD; cite matminer and Miedema sources.</x:v>
      </x:c>
      <x:c r="N36" s="26" t="str">
        <x:v>The model implementation is open-source, but direct redistribution of the parameter table and pair table is not yet cleared.</x:v>
      </x:c>
      <x:c r="O36" s="26" t="str">
        <x:v>Do not publish values until written permission or explicit data licence is obtained; publish code to fetch/reconstruct only.</x:v>
      </x:c>
      <x:c r="P36" s="26" t="str">
        <x:v>Miedema semi-empirical alloy model data as distributed in matminer; cite matminer and the Miedema model/source used by the selected feature.</x:v>
      </x:c>
      <x:c r="Q36" s="26" t="str">
        <x:v>https://hackingmaterials.lbl.gov/matminer/matminer.featurizers.composition.html</x:v>
      </x:c>
      <x:c r="R36" s="26" t="str">
        <x:v>2026-07-16</x:v>
      </x:c>
      <x:c r="S36" s="26" t="str"/>
      <x:c r="T36" s="26" t="str">
        <x:v>Open</x:v>
      </x:c>
    </x:row>
    <x:row r="37" ht="48" customHeight="1">
      <x:c r="A37" s="26" t="str">
        <x:v>LIC-036</x:v>
      </x:c>
      <x:c r="B37" s="26" t="str">
        <x:v>SRC036</x:v>
      </x:c>
      <x:c r="C37" s="26" t="str">
        <x:v>Interpretable</x:v>
      </x:c>
      <x:c r="D37" s="26" t="str">
        <x:v>mendeleev_scattering_factors</x:v>
      </x:c>
      <x:c r="E37" s="26" t="n">
        <x:v>20</x:v>
      </x:c>
      <x:c r="F37" s="26" t="str">
        <x:v>Mendeleev scattering_factors table</x:v>
      </x:c>
      <x:c r="G37" s="26" t="str">
        <x:v>1.1.0</x:v>
      </x:c>
      <x:c r="H37" s="26" t="str">
        <x:v>mendeleev-data: MIT</x:v>
      </x:c>
      <x:c r="I37" s="26" t="str">
        <x:v>Atomic scattering-factor table: MIT; underlying Henke data must be cited</x:v>
      </x:c>
      <x:c r="J37" s="26" t="str">
        <x:v>https://github.com/lmmentel/mendeleev-data/blob/main/LICENSE</x:v>
      </x:c>
      <x:c r="K37" s="26" t="str">
        <x:v>GREEN</x:v>
      </x:c>
      <x:c r="L37" s="26" t="str">
        <x:v>Medium</x:v>
      </x:c>
      <x:c r="M37" s="26" t="str">
        <x:v>Preserve MIT notice; cite Mendeleev and Henke.</x:v>
      </x:c>
      <x:c r="N37" s="26" t="str">
        <x:v>Preserve the original scattering-factor citation and exact interpolation/grid definition.</x:v>
      </x:c>
      <x:c r="O37" s="26" t="str">
        <x:v>Include with release/hash and Henke attribution.</x:v>
      </x:c>
      <x:c r="P37" s="26" t="str">
        <x:v>Ł. M. Mentel, mendeleev — A Python resource for properties of chemical elements, ions and isotopes, version 1.1.0, 2014–. https://github.com/lmmentel/mendeleev; scattering factor citation keys in Mendeleev metadata include Henke1993 X-ray atomic scattering factors.</x:v>
      </x:c>
      <x:c r="Q37" s="26" t="str">
        <x:v>https://github.com/lmmentel/mendeleev</x:v>
      </x:c>
      <x:c r="R37" s="26" t="str">
        <x:v>2026-07-16</x:v>
      </x:c>
      <x:c r="S37" s="26" t="str"/>
      <x:c r="T37" s="26" t="str">
        <x:v>Evidence/notice implementation pending</x:v>
      </x:c>
    </x:row>
    <x:row r="38" ht="48" customHeight="1">
      <x:c r="A38" s="26" t="str">
        <x:v>LIC-037</x:v>
      </x:c>
      <x:c r="B38" s="26" t="str">
        <x:v>SRC037</x:v>
      </x:c>
      <x:c r="C38" s="26" t="str">
        <x:v>Interpretable</x:v>
      </x:c>
      <x:c r="D38" s="26" t="str">
        <x:v>mendeleev_electron_configuration</x:v>
      </x:c>
      <x:c r="E38" s="26" t="n">
        <x:v>19</x:v>
      </x:c>
      <x:c r="F38" s="26" t="str">
        <x:v>Mendeleev Python package</x:v>
      </x:c>
      <x:c r="G38" s="26" t="str">
        <x:v>1.1.0</x:v>
      </x:c>
      <x:c r="H38" s="26" t="str">
        <x:v>mendeleev: MIT</x:v>
      </x:c>
      <x:c r="I38" s="26" t="str">
        <x:v>Electron-configuration values/logic: MIT</x:v>
      </x:c>
      <x:c r="J38" s="26" t="str">
        <x:v>https://github.com/lmmentel/mendeleev/blob/master/LICENSE</x:v>
      </x:c>
      <x:c r="K38" s="26" t="str">
        <x:v>GREEN</x:v>
      </x:c>
      <x:c r="L38" s="26" t="str">
        <x:v>High</x:v>
      </x:c>
      <x:c r="M38" s="26" t="str">
        <x:v>Preserve MIT notice and cite Mendeleev.</x:v>
      </x:c>
      <x:c r="N38" s="26" t="str">
        <x:v>None material; record algorithm/version.</x:v>
      </x:c>
      <x:c r="O38" s="26" t="str">
        <x:v>Include with version/hash.</x:v>
      </x:c>
      <x:c r="P38" s="26" t="str">
        <x:v>Ł. M. Mentel, mendeleev — A Python resource for properties of chemical elements, ions and isotopes, version 1.1.0, 2014–. https://github.com/lmmentel/mendeleev</x:v>
      </x:c>
      <x:c r="Q38" s="26" t="str">
        <x:v>https://github.com/lmmentel/mendeleev</x:v>
      </x:c>
      <x:c r="R38" s="26" t="str">
        <x:v>2026-07-16</x:v>
      </x:c>
      <x:c r="S38" s="26" t="str"/>
      <x:c r="T38" s="26" t="str">
        <x:v>Evidence/notice implementation pending</x:v>
      </x:c>
    </x:row>
    <x:row r="39" ht="48" customHeight="1">
      <x:c r="A39" s="26" t="str">
        <x:v>LIC-038</x:v>
      </x:c>
      <x:c r="B39" s="26" t="str">
        <x:v>SRC038</x:v>
      </x:c>
      <x:c r="C39" s="26" t="str">
        <x:v>Others</x:v>
      </x:c>
      <x:c r="D39" s="26" t="str">
        <x:v>emb_megnet16</x:v>
      </x:c>
      <x:c r="E39" s="26" t="n">
        <x:v>16</x:v>
      </x:c>
      <x:c r="F39" s="26" t="str">
        <x:v>ElementEmbeddings collection</x:v>
      </x:c>
      <x:c r="G39" s="26" t="str">
        <x:v>0.8.0</x:v>
      </x:c>
      <x:c r="H39" s="26" t="str">
        <x:v>ElementEmbeddings: MIT</x:v>
      </x:c>
      <x:c r="I39" s="26" t="str">
        <x:v>MEGNet code/models/element embeddings: BSD-3-Clause</x:v>
      </x:c>
      <x:c r="J39" s="26" t="str">
        <x:v>https://github.com/materialyzeai/megnet/blob/master/LICENSE.md</x:v>
      </x:c>
      <x:c r="K39" s="26" t="str">
        <x:v>GREEN</x:v>
      </x:c>
      <x:c r="L39" s="26" t="str">
        <x:v>High</x:v>
      </x:c>
      <x:c r="M39" s="26" t="str">
        <x:v>Preserve BSD/MIT notices and cite MEGNet and ElementEmbeddings.</x:v>
      </x:c>
      <x:c r="N39" s="26" t="str">
        <x:v>Record exact embedding file/model release and hash.</x:v>
      </x:c>
      <x:c r="O39" s="26" t="str">
        <x:v>Include with BSD and MIT notices.</x:v>
      </x:c>
      <x:c r="P39" s="26" t="str">
        <x:v>C. Onwuli et al., Digital Discovery 2, 1558-1570 (2023), doi:10.1039/D3DD00121K, plus the original publication for each representation. Primary representation source: C. Chen et al., Chem. Mater. 31, 3564-3572 (2019), doi:10.1021/acs.chemmater.9b01294.</x:v>
      </x:c>
      <x:c r="Q39" s="26" t="str">
        <x:v>https://github.com/WMD-group/ElementEmbeddings</x:v>
      </x:c>
      <x:c r="R39" s="26" t="str"/>
      <x:c r="S39" s="26" t="str"/>
      <x:c r="T39" s="26" t="str">
        <x:v>Evidence/notice implementation pending</x:v>
      </x:c>
    </x:row>
    <x:row r="40" ht="48" customHeight="1">
      <x:c r="A40" s="26" t="str">
        <x:v>LIC-039</x:v>
      </x:c>
      <x:c r="B40" s="26" t="str">
        <x:v>SRC039</x:v>
      </x:c>
      <x:c r="C40" s="26" t="str">
        <x:v>Interpretable</x:v>
      </x:c>
      <x:c r="D40" s="26" t="str">
        <x:v>mendeleev_screening</x:v>
      </x:c>
      <x:c r="E40" s="26" t="n">
        <x:v>15</x:v>
      </x:c>
      <x:c r="F40" s="26" t="str">
        <x:v>Mendeleev screening-constant table</x:v>
      </x:c>
      <x:c r="G40" s="26" t="str">
        <x:v>1.1.0</x:v>
      </x:c>
      <x:c r="H40" s="26" t="str">
        <x:v>mendeleev-data: MIT</x:v>
      </x:c>
      <x:c r="I40" s="26" t="str">
        <x:v>Screening-constant table: MIT</x:v>
      </x:c>
      <x:c r="J40" s="26" t="str">
        <x:v>https://github.com/lmmentel/mendeleev-data/blob/main/LICENSE</x:v>
      </x:c>
      <x:c r="K40" s="26" t="str">
        <x:v>GREEN</x:v>
      </x:c>
      <x:c r="L40" s="26" t="str">
        <x:v>High</x:v>
      </x:c>
      <x:c r="M40" s="26" t="str">
        <x:v>Preserve MIT notice and cite Mendeleev/method source.</x:v>
      </x:c>
      <x:c r="N40" s="26" t="str">
        <x:v>Retain original method references.</x:v>
      </x:c>
      <x:c r="O40" s="26" t="str">
        <x:v>Include with release/hash and citations.</x:v>
      </x:c>
      <x:c r="P40" s="26" t="str">
        <x:v>L. M. Mentel, Mendeleev, version 1.1.0.</x:v>
      </x:c>
      <x:c r="Q40" s="26" t="str">
        <x:v>https://mendeleev.readthedocs.io/</x:v>
      </x:c>
      <x:c r="R40" s="26" t="str">
        <x:v>2026-07-16</x:v>
      </x:c>
      <x:c r="S40" s="26" t="str"/>
      <x:c r="T40" s="26" t="str">
        <x:v>Evidence/notice implementation pending</x:v>
      </x:c>
    </x:row>
    <x:row r="41" ht="48" customHeight="1">
      <x:c r="A41" s="26" t="str">
        <x:v>LIC-040</x:v>
      </x:c>
      <x:c r="B41" s="26" t="str">
        <x:v>SRC040</x:v>
      </x:c>
      <x:c r="C41" s="26" t="str">
        <x:v>Interpretable</x:v>
      </x:c>
      <x:c r="D41" s="26" t="str">
        <x:v>ciaaw_standard_atomic_weights_2024</x:v>
      </x:c>
      <x:c r="E41" s="26" t="n">
        <x:v>10</x:v>
      </x:c>
      <x:c r="F41" s="26" t="str">
        <x:v>CIAAW</x:v>
      </x:c>
      <x:c r="G41" s="26" t="str">
        <x:v>2024</x:v>
      </x:c>
      <x:c r="H41" s="26" t="str">
        <x:v>CIAAW/IUPAC reproduction permission with attribution conditions</x:v>
      </x:c>
      <x:c r="I41" s="26" t="str">
        <x:v>Republication/reproduction permitted without formal permission if full acknowledgement, copyright symbol, IUPAC/CIAAW name, and year are visible</x:v>
      </x:c>
      <x:c r="J41" s="26" t="str">
        <x:v>https://ciaaw.org/impressum.htm</x:v>
      </x:c>
      <x:c r="K41" s="26" t="str">
        <x:v>GREEN</x:v>
      </x:c>
      <x:c r="L41" s="26" t="str">
        <x:v>High</x:v>
      </x:c>
      <x:c r="M41" s="26" t="str">
        <x:v>Full source reference; © symbol; IUPAC or CIAAW name; year of publication prominently visible.</x:v>
      </x:c>
      <x:c r="N41" s="26" t="str">
        <x:v>This is not a generic CC licence; its specific acknowledgement wording must be implemented.</x:v>
      </x:c>
      <x:c r="O41" s="26" t="str">
        <x:v>Include; add prescribed IUPAC/CIAAW attribution to ATTRIBUTION.md and source metadata.</x:v>
      </x:c>
      <x:c r="P41" s="26" t="str">
        <x:v>Commission on Isotopic Abundances and Atomic Weights (CIAAW), Standard Atomic Weights 2024; based on the Atomic Weights 2021 report with 2024 revisions for Gd, Lu, and Zr.</x:v>
      </x:c>
      <x:c r="Q41" s="26" t="str">
        <x:v>https://www.ciaaw.org/atomic-weights.htm</x:v>
      </x:c>
      <x:c r="R41" s="26" t="str">
        <x:v>2026-07-16</x:v>
      </x:c>
      <x:c r="S41" s="26" t="str"/>
      <x:c r="T41" s="26" t="str">
        <x:v>Evidence/notice implementation pending</x:v>
      </x:c>
    </x:row>
    <x:row r="42" ht="48" customHeight="1">
      <x:c r="A42" s="26" t="str">
        <x:v>LIC-041</x:v>
      </x:c>
      <x:c r="B42" s="26" t="str">
        <x:v>SRC041</x:v>
      </x:c>
      <x:c r="C42" s="26" t="str">
        <x:v>Interpretable</x:v>
      </x:c>
      <x:c r="D42" s="26" t="str">
        <x:v>nist_neutron_natural_element; nist_neutron_natural_element_derived</x:v>
      </x:c>
      <x:c r="E42" s="26" t="n">
        <x:v>7</x:v>
      </x:c>
      <x:c r="F42" s="26" t="str">
        <x:v>NIST NCNR / Sears via periodictable</x:v>
      </x:c>
      <x:c r="G42" s="26" t="str">
        <x:v>2.0.2</x:v>
      </x:c>
      <x:c r="H42" s="26" t="str">
        <x:v>periodictable: public domain with noted file exceptions; NIST works generally public domain in the US</x:v>
      </x:c>
      <x:c r="I42" s="26" t="str">
        <x:v>NIST NCNR/Sears neutron values distributed via periodictable</x:v>
      </x:c>
      <x:c r="J42" s="26" t="str">
        <x:v>https://github.com/pkienzle/periodictable/blob/master/LICENSE.txt</x:v>
      </x:c>
      <x:c r="K42" s="26" t="str">
        <x:v>GREEN</x:v>
      </x:c>
      <x:c r="L42" s="26" t="str">
        <x:v>Medium</x:v>
      </x:c>
      <x:c r="M42" s="26" t="str">
        <x:v>Cite Sears and NIST NCNR; preserve package notices.</x:v>
      </x:c>
      <x:c r="N42" s="26" t="str">
        <x:v>Sears article is a scientific source; distinguish NIST compilation from third-party text/figures.</x:v>
      </x:c>
      <x:c r="O42" s="26" t="str">
        <x:v>Include values with periodictable/NIST notices and Sears citation; archive exact package data file/hash.</x:v>
      </x:c>
      <x:c r="P42" s="26" t="str">
        <x:v>V. F. Sears, Neutron scattering lengths and cross sections, Neutron News 3(3), 29–37 (1992); NIST NCNR compilation; distributed through periodictable.</x:v>
      </x:c>
      <x:c r="Q42" s="26" t="str">
        <x:v>https://www.ncnr.nist.gov/resources/n-lengths/</x:v>
      </x:c>
      <x:c r="R42" s="26" t="str">
        <x:v>2026-07-16</x:v>
      </x:c>
      <x:c r="S42" s="26" t="str"/>
      <x:c r="T42" s="26" t="str">
        <x:v>Evidence/notice implementation pending</x:v>
      </x:c>
    </x:row>
    <x:row r="43" ht="48" customHeight="1">
      <x:c r="A43" s="26" t="str">
        <x:v>LIC-042</x:v>
      </x:c>
      <x:c r="B43" s="26" t="str">
        <x:v>SRC042</x:v>
      </x:c>
      <x:c r="C43" s="26" t="str">
        <x:v>Interpretable</x:v>
      </x:c>
      <x:c r="D43" s="26" t="str">
        <x:v>mendeleev_electronegativity_extended</x:v>
      </x:c>
      <x:c r="E43" s="26" t="n">
        <x:v>6</x:v>
      </x:c>
      <x:c r="F43" s="26" t="str">
        <x:v>Mendeleev</x:v>
      </x:c>
      <x:c r="G43" s="26" t="str">
        <x:v>1.1.0</x:v>
      </x:c>
      <x:c r="H43" s="26" t="str">
        <x:v>mendeleev: MIT</x:v>
      </x:c>
      <x:c r="I43" s="26" t="str">
        <x:v>Electronegativity scales implemented/distributed in Mendeleev; original scale sources vary</x:v>
      </x:c>
      <x:c r="J43" s="26" t="str">
        <x:v>https://github.com/lmmentel/mendeleev/blob/master/LICENSE</x:v>
      </x:c>
      <x:c r="K43" s="26" t="str">
        <x:v>AMBER</x:v>
      </x:c>
      <x:c r="L43" s="26" t="str">
        <x:v>Medium</x:v>
      </x:c>
      <x:c r="M43" s="26" t="str">
        <x:v>Preserve MIT notice and cite each original electronegativity scale.</x:v>
      </x:c>
      <x:c r="N43" s="26" t="str">
        <x:v>For each scale, distinguish copied tabulated values from values calculated by formula and preserve the original source.</x:v>
      </x:c>
      <x:c r="O43" s="26" t="str">
        <x:v>Create scale-level provenance rows and verify redistribution of any tabulated inputs.</x:v>
      </x:c>
      <x:c r="P43" s="26" t="str">
        <x:v>Ł. M. Mentel, mendeleev — a Python resource for properties of chemical elements, ions and isotopes, v1.1.0; cite the original electronegativity-scale source where used.</x:v>
      </x:c>
      <x:c r="Q43" s="26" t="str">
        <x:v>https://mendeleev.readthedocs.io/en/stable/electronegativity.html</x:v>
      </x:c>
      <x:c r="R43" s="26" t="str">
        <x:v>2026-07-16</x:v>
      </x:c>
      <x:c r="S43" s="26" t="str"/>
      <x:c r="T43" s="26" t="str">
        <x:v>Open</x:v>
      </x:c>
    </x:row>
    <x:row r="44" ht="48" customHeight="1">
      <x:c r="A44" s="26" t="str">
        <x:v>LIC-043</x:v>
      </x:c>
      <x:c r="B44" s="26" t="str">
        <x:v>SRC043</x:v>
      </x:c>
      <x:c r="C44" s="26" t="str">
        <x:v>Interpretable</x:v>
      </x:c>
      <x:c r="D44" s="26" t="str">
        <x:v>matminer_cohesive</x:v>
      </x:c>
      <x:c r="E44" s="26" t="n">
        <x:v>1</x:v>
      </x:c>
      <x:c r="F44" s="26" t="str">
        <x:v>Cohesive-energy table distributed with matminer</x:v>
      </x:c>
      <x:c r="G44" s="26" t="str">
        <x:v>matminer 0.10.1</x:v>
      </x:c>
      <x:c r="H44" s="26" t="str">
        <x:v>matminer: BSD-3-Clause</x:v>
      </x:c>
      <x:c r="I44" s="26" t="str">
        <x:v>Cohesive-energy table has no separately evidenced data licence in the current registry</x:v>
      </x:c>
      <x:c r="J44" s="26" t="str">
        <x:v>https://github.com/hackingmaterials/matminer/blob/main/LICENSE</x:v>
      </x:c>
      <x:c r="K44" s="26" t="str">
        <x:v>HOLD</x:v>
      </x:c>
      <x:c r="L44" s="26" t="str">
        <x:v>High</x:v>
      </x:c>
      <x:c r="M44" s="26" t="str">
        <x:v>No public value redistribution while HOLD.</x:v>
      </x:c>
      <x:c r="N44" s="26" t="str">
        <x:v>The exact original table and its redistribution terms are not identified.</x:v>
      </x:c>
      <x:c r="O44" s="26" t="str">
        <x:v>Identify original source and licence or exclude the value column from public release and provide reconstruction code.</x:v>
      </x:c>
      <x:c r="P44" s="26" t="str">
        <x:v>Cite matminer and the original cohesive-energy source documented by the featurizer.</x:v>
      </x:c>
      <x:c r="Q44" s="26" t="str">
        <x:v>https://hackingmaterials.lbl.gov/matminer/</x:v>
      </x:c>
      <x:c r="R44" s="26" t="str">
        <x:v>2026-07-16</x:v>
      </x:c>
      <x:c r="S44" s="26" t="str"/>
      <x:c r="T44" s="26" t="str">
        <x:v>Open</x:v>
      </x:c>
    </x:row>
    <x:row r="45" ht="48" customHeight="1">
      <x:c r="A45" s="26" t="str">
        <x:v>LIC-044</x:v>
      </x:c>
      <x:c r="B45" s="26" t="str">
        <x:v>SRC044</x:v>
      </x:c>
      <x:c r="C45" s="26" t="str">
        <x:v>Others</x:v>
      </x:c>
      <x:c r="D45" s="26" t="str">
        <x:v>emb_mod_petti</x:v>
      </x:c>
      <x:c r="E45" s="26" t="n">
        <x:v>1</x:v>
      </x:c>
      <x:c r="F45" s="26" t="str">
        <x:v>ElementEmbeddings collection</x:v>
      </x:c>
      <x:c r="G45" s="26" t="str">
        <x:v>0.8.0</x:v>
      </x:c>
      <x:c r="H45" s="26" t="str">
        <x:v>ElementEmbeddings: MIT</x:v>
      </x:c>
      <x:c r="I45" s="26" t="str">
        <x:v>Modified Pettifor scale values derived from published work; no separate open-data licence evidenced</x:v>
      </x:c>
      <x:c r="J45" s="26" t="str">
        <x:v>https://github.com/WMD-group/ElementEmbeddings/blob/main/LICENSE.md</x:v>
      </x:c>
      <x:c r="K45" s="26" t="str">
        <x:v>HOLD</x:v>
      </x:c>
      <x:c r="L45" s="26" t="str">
        <x:v>Medium</x:v>
      </x:c>
      <x:c r="M45" s="26" t="str">
        <x:v>No public value redistribution while HOLD; cite Glawe et al.</x:v>
      </x:c>
      <x:c r="N45" s="26" t="str">
        <x:v>Repository licence is clear, but direct redistribution of the scale values should be tied to explicit upstream permission or licence.</x:v>
      </x:c>
      <x:c r="O45" s="26" t="str">
        <x:v>Obtain explicit permission/licence evidence or replace with a documented open implementation/rebuild procedure.</x:v>
      </x:c>
      <x:c r="P45" s="26" t="str">
        <x:v>C. Onwuli et al., Digital Discovery 2, 1558-1570 (2023), doi:10.1039/D3DD00121K, plus the original publication for each representation. Primary representation source: S. Glawe et al., New J. Phys. 18, 093011 (2016), doi:10.1088/1367-2630/18/9/093011.</x:v>
      </x:c>
      <x:c r="Q45" s="26" t="str">
        <x:v>https://github.com/WMD-group/ElementEmbeddings</x:v>
      </x:c>
      <x:c r="R45" s="26" t="str">
        <x:v>2026-07-16</x:v>
      </x:c>
      <x:c r="S45" s="26" t="str"/>
      <x:c r="T45" s="26" t="str">
        <x:v>Open</x:v>
      </x:c>
    </x:row>
  </x:sheetData>
  <x:conditionalFormatting sqref="K2:K45">
    <x:cfRule type="expression" dxfId="6" priority="1">
      <x:formula>K2="GREEN"</x:formula>
    </x:cfRule>
    <x:cfRule type="expression" dxfId="7" priority="2">
      <x:formula>K2="AMBER"</x:formula>
    </x:cfRule>
    <x:cfRule type="expression" dxfId="8" priority="3">
      <x:formula>K2="HOLD"</x:formula>
    </x:cfRule>
    <x:cfRule type="expression" dxfId="9" priority="4">
      <x:formula>K2="RED"</x:formula>
    </x:cfRule>
  </x:conditionalFormatting>
  <x:dataValidations count="2">
    <x:dataValidation type="list" sqref="K2:K45">
      <x:formula1>"GREEN,AMBER,HOLD,RED"</x:formula1>
    </x:dataValidation>
    <x:dataValidation type="list" sqref="T2:T45">
      <x:formula1>"Open,In progress,Evidence/notice implementation pending,Closed,Excluded"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ac52f6ed1445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" hidden="0" customWidth="1"/>
    <x:col min="3" max="3" width="40" hidden="0" customWidth="1"/>
    <x:col min="4" max="4" width="18" hidden="0" customWidth="1"/>
    <x:col min="5" max="5" width="15" hidden="0" customWidth="1"/>
    <x:col min="6" max="6" width="15" hidden="0" customWidth="1"/>
    <x:col min="7" max="7" width="10" hidden="0" customWidth="1"/>
    <x:col min="8" max="8" width="35" hidden="0" customWidth="1"/>
    <x:col min="9" max="9" width="16" hidden="0" customWidth="1"/>
    <x:col min="10" max="10" width="17" hidden="0" customWidth="1"/>
    <x:col min="11" max="11" width="16" hidden="0" customWidth="1"/>
    <x:col min="12" max="12" width="12" hidden="0" customWidth="1"/>
  </x:cols>
  <x:sheetData>
    <x:row r="1" ht="30" customHeight="1">
      <x:c r="A1" s="19" t="str">
        <x:v>Feature block</x:v>
      </x:c>
      <x:c r="B1" s="19" t="str">
        <x:v>Source ID</x:v>
      </x:c>
      <x:c r="C1" s="19" t="str">
        <x:v>Source</x:v>
      </x:c>
      <x:c r="D1" s="19" t="str">
        <x:v>Version</x:v>
      </x:c>
      <x:c r="E1" s="19" t="str">
        <x:v>Interpretable features</x:v>
      </x:c>
      <x:c r="F1" s="19" t="str">
        <x:v>Other features</x:v>
      </x:c>
      <x:c r="G1" s="19" t="str">
        <x:v>Total</x:v>
      </x:c>
      <x:c r="H1" s="19" t="str">
        <x:v>Tier(s)</x:v>
      </x:c>
      <x:c r="I1" s="19" t="str">
        <x:v>Coverage min (elements)</x:v>
      </x:c>
      <x:c r="J1" s="19" t="str">
        <x:v>Coverage mean (elements)</x:v>
      </x:c>
      <x:c r="K1" s="19" t="str">
        <x:v>Coverage max (elements)</x:v>
      </x:c>
      <x:c r="L1" s="19" t="str">
        <x:v>Release status</x:v>
      </x:c>
    </x:row>
    <x:row r="2" ht="30" customHeight="1">
      <x:c r="A2" s="26" t="str">
        <x:v>ciaaw_standard_atomic_weights_2024</x:v>
      </x:c>
      <x:c r="B2" s="26" t="str">
        <x:v>SRC040</x:v>
      </x:c>
      <x:c r="C2" s="26" t="str">
        <x:v>CIAAW</x:v>
      </x:c>
      <x:c r="D2" s="26" t="str">
        <x:v>2024</x:v>
      </x:c>
      <x:c r="E2" s="26" t="n">
        <x:v>10</x:v>
      </x:c>
      <x:c r="F2" s="26" t="n">
        <x:v>0</x:v>
      </x:c>
      <x:c r="G2" s="26" t="n">
        <x:v>10</x:v>
      </x:c>
      <x:c r="H2" s="26" t="str">
        <x:v>A_strict_direct; C_transparent_derived</x:v>
      </x:c>
      <x:c r="I2" s="26" t="n">
        <x:v>84</x:v>
      </x:c>
      <x:c r="J2" s="26" t="n">
        <x:v>101</x:v>
      </x:c>
      <x:c r="K2" s="26" t="n">
        <x:v>118</x:v>
      </x:c>
      <x:c r="L2" s="26" t="str">
        <x:v>GREEN</x:v>
      </x:c>
    </x:row>
    <x:row r="3" ht="30" customHeight="1">
      <x:c r="A3" s="26" t="str">
        <x:v>emb_cgcnn</x:v>
      </x:c>
      <x:c r="B3" s="26" t="str">
        <x:v>SRC015</x:v>
      </x:c>
      <x:c r="C3" s="26" t="str">
        <x:v>ElementEmbeddings collection</x:v>
      </x:c>
      <x:c r="D3" s="26" t="str">
        <x:v>0.8.0</x:v>
      </x:c>
      <x:c r="E3" s="26" t="n">
        <x:v>0</x:v>
      </x:c>
      <x:c r="F3" s="26" t="n">
        <x:v>92</x:v>
      </x:c>
      <x:c r="G3" s="26" t="n">
        <x:v>92</x:v>
      </x:c>
      <x:c r="H3" s="26" t="str">
        <x:v>G_noninterpretable_representation</x:v>
      </x:c>
      <x:c r="I3" s="26" t="n">
        <x:v>100</x:v>
      </x:c>
      <x:c r="J3" s="26" t="n">
        <x:v>100</x:v>
      </x:c>
      <x:c r="K3" s="26" t="n">
        <x:v>100</x:v>
      </x:c>
      <x:c r="L3" s="26" t="str">
        <x:v>GREEN</x:v>
      </x:c>
    </x:row>
    <x:row r="4" ht="30" customHeight="1">
      <x:c r="A4" s="26" t="str">
        <x:v>emb_cgnf</x:v>
      </x:c>
      <x:c r="B4" s="26" t="str">
        <x:v>SRC016</x:v>
      </x:c>
      <x:c r="C4" s="26" t="str">
        <x:v>ElementEmbeddings collection</x:v>
      </x:c>
      <x:c r="D4" s="26" t="str">
        <x:v>0.8.0</x:v>
      </x:c>
      <x:c r="E4" s="26" t="n">
        <x:v>0</x:v>
      </x:c>
      <x:c r="F4" s="26" t="n">
        <x:v>90</x:v>
      </x:c>
      <x:c r="G4" s="26" t="n">
        <x:v>90</x:v>
      </x:c>
      <x:c r="H4" s="26" t="str">
        <x:v>G_noninterpretable_representation</x:v>
      </x:c>
      <x:c r="I4" s="26" t="n">
        <x:v>100</x:v>
      </x:c>
      <x:c r="J4" s="26" t="n">
        <x:v>100</x:v>
      </x:c>
      <x:c r="K4" s="26" t="n">
        <x:v>100</x:v>
      </x:c>
      <x:c r="L4" s="26" t="str">
        <x:v>HOLD</x:v>
      </x:c>
    </x:row>
    <x:row r="5" ht="30" customHeight="1">
      <x:c r="A5" s="26" t="str">
        <x:v>emb_chemeleon</x:v>
      </x:c>
      <x:c r="B5" s="26" t="str">
        <x:v>SRC003</x:v>
      </x:c>
      <x:c r="C5" s="26" t="str">
        <x:v>ElementEmbeddings collection</x:v>
      </x:c>
      <x:c r="D5" s="26" t="str">
        <x:v>0.8.0</x:v>
      </x:c>
      <x:c r="E5" s="26" t="n">
        <x:v>0</x:v>
      </x:c>
      <x:c r="F5" s="26" t="n">
        <x:v>512</x:v>
      </x:c>
      <x:c r="G5" s="26" t="n">
        <x:v>512</x:v>
      </x:c>
      <x:c r="H5" s="26" t="str">
        <x:v>G_noninterpretable_representation</x:v>
      </x:c>
      <x:c r="I5" s="26" t="n">
        <x:v>87</x:v>
      </x:c>
      <x:c r="J5" s="26" t="n">
        <x:v>87</x:v>
      </x:c>
      <x:c r="K5" s="26" t="n">
        <x:v>87</x:v>
      </x:c>
      <x:c r="L5" s="26" t="str">
        <x:v>AMBER</x:v>
      </x:c>
    </x:row>
    <x:row r="6" ht="30" customHeight="1">
      <x:c r="A6" s="26" t="str">
        <x:v>emb_chgnet</x:v>
      </x:c>
      <x:c r="B6" s="26" t="str">
        <x:v>SRC023</x:v>
      </x:c>
      <x:c r="C6" s="26" t="str">
        <x:v>ElementEmbeddings collection</x:v>
      </x:c>
      <x:c r="D6" s="26" t="str">
        <x:v>0.8.0</x:v>
      </x:c>
      <x:c r="E6" s="26" t="n">
        <x:v>0</x:v>
      </x:c>
      <x:c r="F6" s="26" t="n">
        <x:v>64</x:v>
      </x:c>
      <x:c r="G6" s="26" t="n">
        <x:v>64</x:v>
      </x:c>
      <x:c r="H6" s="26" t="str">
        <x:v>G_noninterpretable_representation</x:v>
      </x:c>
      <x:c r="I6" s="26" t="n">
        <x:v>87</x:v>
      </x:c>
      <x:c r="J6" s="26" t="n">
        <x:v>87</x:v>
      </x:c>
      <x:c r="K6" s="26" t="n">
        <x:v>87</x:v>
      </x:c>
      <x:c r="L6" s="26" t="str">
        <x:v>GREEN</x:v>
      </x:c>
    </x:row>
    <x:row r="7" ht="30" customHeight="1">
      <x:c r="A7" s="26" t="str">
        <x:v>emb_crystallm</x:v>
      </x:c>
      <x:c r="B7" s="26" t="str">
        <x:v>SRC002</x:v>
      </x:c>
      <x:c r="C7" s="26" t="str">
        <x:v>ElementEmbeddings collection</x:v>
      </x:c>
      <x:c r="D7" s="26" t="str">
        <x:v>0.8.0</x:v>
      </x:c>
      <x:c r="E7" s="26" t="n">
        <x:v>0</x:v>
      </x:c>
      <x:c r="F7" s="26" t="n">
        <x:v>512</x:v>
      </x:c>
      <x:c r="G7" s="26" t="n">
        <x:v>512</x:v>
      </x:c>
      <x:c r="H7" s="26" t="str">
        <x:v>G_noninterpretable_representation</x:v>
      </x:c>
      <x:c r="I7" s="26" t="n">
        <x:v>89</x:v>
      </x:c>
      <x:c r="J7" s="26" t="n">
        <x:v>89</x:v>
      </x:c>
      <x:c r="K7" s="26" t="n">
        <x:v>89</x:v>
      </x:c>
      <x:c r="L7" s="26" t="str">
        <x:v>AMBER</x:v>
      </x:c>
    </x:row>
    <x:row r="8" ht="30" customHeight="1">
      <x:c r="A8" s="26" t="str">
        <x:v>emb_mace_mp0</x:v>
      </x:c>
      <x:c r="B8" s="26" t="str">
        <x:v>SRC010</x:v>
      </x:c>
      <x:c r="C8" s="26" t="str">
        <x:v>ElementEmbeddings collection</x:v>
      </x:c>
      <x:c r="D8" s="26" t="str">
        <x:v>0.8.0</x:v>
      </x:c>
      <x:c r="E8" s="26" t="n">
        <x:v>0</x:v>
      </x:c>
      <x:c r="F8" s="26" t="n">
        <x:v>128</x:v>
      </x:c>
      <x:c r="G8" s="26" t="n">
        <x:v>128</x:v>
      </x:c>
      <x:c r="H8" s="26" t="str">
        <x:v>G_noninterpretable_representation</x:v>
      </x:c>
      <x:c r="I8" s="26" t="n">
        <x:v>87</x:v>
      </x:c>
      <x:c r="J8" s="26" t="n">
        <x:v>87</x:v>
      </x:c>
      <x:c r="K8" s="26" t="n">
        <x:v>87</x:v>
      </x:c>
      <x:c r="L8" s="26" t="str">
        <x:v>AMBER</x:v>
      </x:c>
    </x:row>
    <x:row r="9" ht="30" customHeight="1">
      <x:c r="A9" s="26" t="str">
        <x:v>emb_magpie22</x:v>
      </x:c>
      <x:c r="B9" s="26" t="str">
        <x:v>SRC034</x:v>
      </x:c>
      <x:c r="C9" s="26" t="str">
        <x:v>ElementEmbeddings collection</x:v>
      </x:c>
      <x:c r="D9" s="26" t="str">
        <x:v>0.8.0</x:v>
      </x:c>
      <x:c r="E9" s="26" t="n">
        <x:v>21</x:v>
      </x:c>
      <x:c r="F9" s="26" t="n">
        <x:v>1</x:v>
      </x:c>
      <x:c r="G9" s="26" t="n">
        <x:v>22</x:v>
      </x:c>
      <x:c r="H9" s="26" t="str">
        <x:v>A_strict_direct; D_empirical_contextual_auxiliary</x:v>
      </x:c>
      <x:c r="I9" s="26" t="n">
        <x:v>97</x:v>
      </x:c>
      <x:c r="J9" s="26" t="n">
        <x:v>97</x:v>
      </x:c>
      <x:c r="K9" s="26" t="n">
        <x:v>97</x:v>
      </x:c>
      <x:c r="L9" s="26" t="str">
        <x:v>AMBER</x:v>
      </x:c>
    </x:row>
    <x:row r="10" ht="30" customHeight="1">
      <x:c r="A10" s="26" t="str">
        <x:v>emb_mat2vec</x:v>
      </x:c>
      <x:c r="B10" s="26" t="str">
        <x:v>SRC009</x:v>
      </x:c>
      <x:c r="C10" s="26" t="str">
        <x:v>ElementEmbeddings collection</x:v>
      </x:c>
      <x:c r="D10" s="26" t="str">
        <x:v>0.8.0</x:v>
      </x:c>
      <x:c r="E10" s="26" t="n">
        <x:v>0</x:v>
      </x:c>
      <x:c r="F10" s="26" t="n">
        <x:v>200</x:v>
      </x:c>
      <x:c r="G10" s="26" t="n">
        <x:v>200</x:v>
      </x:c>
      <x:c r="H10" s="26" t="str">
        <x:v>G_noninterpretable_representation</x:v>
      </x:c>
      <x:c r="I10" s="26" t="n">
        <x:v>118</x:v>
      </x:c>
      <x:c r="J10" s="26" t="n">
        <x:v>118</x:v>
      </x:c>
      <x:c r="K10" s="26" t="n">
        <x:v>118</x:v>
      </x:c>
      <x:c r="L10" s="26" t="str">
        <x:v>GREEN</x:v>
      </x:c>
    </x:row>
    <x:row r="11" ht="30" customHeight="1">
      <x:c r="A11" s="26" t="str">
        <x:v>emb_matscholar</x:v>
      </x:c>
      <x:c r="B11" s="26" t="str">
        <x:v>SRC008</x:v>
      </x:c>
      <x:c r="C11" s="26" t="str">
        <x:v>ElementEmbeddings collection</x:v>
      </x:c>
      <x:c r="D11" s="26" t="str">
        <x:v>0.8.0</x:v>
      </x:c>
      <x:c r="E11" s="26" t="n">
        <x:v>0</x:v>
      </x:c>
      <x:c r="F11" s="26" t="n">
        <x:v>200</x:v>
      </x:c>
      <x:c r="G11" s="26" t="n">
        <x:v>200</x:v>
      </x:c>
      <x:c r="H11" s="26" t="str">
        <x:v>G_noninterpretable_representation</x:v>
      </x:c>
      <x:c r="I11" s="26" t="n">
        <x:v>103</x:v>
      </x:c>
      <x:c r="J11" s="26" t="n">
        <x:v>103</x:v>
      </x:c>
      <x:c r="K11" s="26" t="n">
        <x:v>103</x:v>
      </x:c>
      <x:c r="L11" s="26" t="str">
        <x:v>GREEN</x:v>
      </x:c>
    </x:row>
    <x:row r="12" ht="30" customHeight="1">
      <x:c r="A12" s="26" t="str">
        <x:v>emb_matscibert</x:v>
      </x:c>
      <x:c r="B12" s="26" t="str">
        <x:v>SRC001</x:v>
      </x:c>
      <x:c r="C12" s="26" t="str">
        <x:v>ElementEmbeddings collection</x:v>
      </x:c>
      <x:c r="D12" s="26" t="str">
        <x:v>0.8.0</x:v>
      </x:c>
      <x:c r="E12" s="26" t="n">
        <x:v>0</x:v>
      </x:c>
      <x:c r="F12" s="26" t="n">
        <x:v>768</x:v>
      </x:c>
      <x:c r="G12" s="26" t="n">
        <x:v>768</x:v>
      </x:c>
      <x:c r="H12" s="26" t="str">
        <x:v>G_noninterpretable_representation</x:v>
      </x:c>
      <x:c r="I12" s="26" t="n">
        <x:v>97</x:v>
      </x:c>
      <x:c r="J12" s="26" t="n">
        <x:v>97</x:v>
      </x:c>
      <x:c r="K12" s="26" t="n">
        <x:v>97</x:v>
      </x:c>
      <x:c r="L12" s="26" t="str">
        <x:v>HOLD</x:v>
      </x:c>
    </x:row>
    <x:row r="13" ht="30" customHeight="1">
      <x:c r="A13" s="26" t="str">
        <x:v>emb_megnet16</x:v>
      </x:c>
      <x:c r="B13" s="26" t="str">
        <x:v>SRC038</x:v>
      </x:c>
      <x:c r="C13" s="26" t="str">
        <x:v>ElementEmbeddings collection</x:v>
      </x:c>
      <x:c r="D13" s="26" t="str">
        <x:v>0.8.0</x:v>
      </x:c>
      <x:c r="E13" s="26" t="n">
        <x:v>0</x:v>
      </x:c>
      <x:c r="F13" s="26" t="n">
        <x:v>16</x:v>
      </x:c>
      <x:c r="G13" s="26" t="n">
        <x:v>16</x:v>
      </x:c>
      <x:c r="H13" s="26" t="str">
        <x:v>G_noninterpretable_representation</x:v>
      </x:c>
      <x:c r="I13" s="26" t="n">
        <x:v>94</x:v>
      </x:c>
      <x:c r="J13" s="26" t="n">
        <x:v>94</x:v>
      </x:c>
      <x:c r="K13" s="26" t="n">
        <x:v>94</x:v>
      </x:c>
      <x:c r="L13" s="26" t="str">
        <x:v>GREEN</x:v>
      </x:c>
    </x:row>
    <x:row r="14" ht="30" customHeight="1">
      <x:c r="A14" s="26" t="str">
        <x:v>emb_mod_petti</x:v>
      </x:c>
      <x:c r="B14" s="26" t="str">
        <x:v>SRC044</x:v>
      </x:c>
      <x:c r="C14" s="26" t="str">
        <x:v>ElementEmbeddings collection</x:v>
      </x:c>
      <x:c r="D14" s="26" t="str">
        <x:v>0.8.0</x:v>
      </x:c>
      <x:c r="E14" s="26" t="n">
        <x:v>0</x:v>
      </x:c>
      <x:c r="F14" s="26" t="n">
        <x:v>1</x:v>
      </x:c>
      <x:c r="G14" s="26" t="n">
        <x:v>1</x:v>
      </x:c>
      <x:c r="H14" s="26" t="str">
        <x:v>D_empirical_contextual_auxiliary</x:v>
      </x:c>
      <x:c r="I14" s="26" t="n">
        <x:v>118</x:v>
      </x:c>
      <x:c r="J14" s="26" t="n">
        <x:v>118</x:v>
      </x:c>
      <x:c r="K14" s="26" t="n">
        <x:v>118</x:v>
      </x:c>
      <x:c r="L14" s="26" t="str">
        <x:v>HOLD</x:v>
      </x:c>
    </x:row>
    <x:row r="15" ht="30" customHeight="1">
      <x:c r="A15" s="26" t="str">
        <x:v>emb_oliynyk44</x:v>
      </x:c>
      <x:c r="B15" s="26" t="str">
        <x:v>SRC028</x:v>
      </x:c>
      <x:c r="C15" s="26" t="str">
        <x:v>ElementEmbeddings collection</x:v>
      </x:c>
      <x:c r="D15" s="26" t="str">
        <x:v>0.8.0</x:v>
      </x:c>
      <x:c r="E15" s="26" t="n">
        <x:v>42</x:v>
      </x:c>
      <x:c r="F15" s="26" t="n">
        <x:v>2</x:v>
      </x:c>
      <x:c r="G15" s="26" t="n">
        <x:v>44</x:v>
      </x:c>
      <x:c r="H15" s="26" t="str">
        <x:v>A_strict_direct; C_transparent_derived; D_empirical_contextual_auxiliary</x:v>
      </x:c>
      <x:c r="I15" s="26" t="n">
        <x:v>75</x:v>
      </x:c>
      <x:c r="J15" s="26" t="n">
        <x:v>84.68</x:v>
      </x:c>
      <x:c r="K15" s="26" t="n">
        <x:v>85</x:v>
      </x:c>
      <x:c r="L15" s="26" t="str">
        <x:v>AMBER</x:v>
      </x:c>
    </x:row>
    <x:row r="16" ht="30" customHeight="1">
      <x:c r="A16" s="26" t="str">
        <x:v>emb_orb_v2</x:v>
      </x:c>
      <x:c r="B16" s="26" t="str">
        <x:v>SRC006</x:v>
      </x:c>
      <x:c r="C16" s="26" t="str">
        <x:v>ElementEmbeddings collection</x:v>
      </x:c>
      <x:c r="D16" s="26" t="str">
        <x:v>0.8.0</x:v>
      </x:c>
      <x:c r="E16" s="26" t="n">
        <x:v>0</x:v>
      </x:c>
      <x:c r="F16" s="26" t="n">
        <x:v>256</x:v>
      </x:c>
      <x:c r="G16" s="26" t="n">
        <x:v>256</x:v>
      </x:c>
      <x:c r="H16" s="26" t="str">
        <x:v>G_noninterpretable_representation</x:v>
      </x:c>
      <x:c r="I16" s="26" t="n">
        <x:v>87</x:v>
      </x:c>
      <x:c r="J16" s="26" t="n">
        <x:v>87</x:v>
      </x:c>
      <x:c r="K16" s="26" t="n">
        <x:v>87</x:v>
      </x:c>
      <x:c r="L16" s="26" t="str">
        <x:v>AMBER</x:v>
      </x:c>
    </x:row>
    <x:row r="17" ht="30" customHeight="1">
      <x:c r="A17" s="26" t="str">
        <x:v>emb_sevennet</x:v>
      </x:c>
      <x:c r="B17" s="26" t="str">
        <x:v>SRC011</x:v>
      </x:c>
      <x:c r="C17" s="26" t="str">
        <x:v>ElementEmbeddings collection</x:v>
      </x:c>
      <x:c r="D17" s="26" t="str">
        <x:v>0.8.0</x:v>
      </x:c>
      <x:c r="E17" s="26" t="n">
        <x:v>0</x:v>
      </x:c>
      <x:c r="F17" s="26" t="n">
        <x:v>128</x:v>
      </x:c>
      <x:c r="G17" s="26" t="n">
        <x:v>128</x:v>
      </x:c>
      <x:c r="H17" s="26" t="str">
        <x:v>G_noninterpretable_representation</x:v>
      </x:c>
      <x:c r="I17" s="26" t="n">
        <x:v>87</x:v>
      </x:c>
      <x:c r="J17" s="26" t="n">
        <x:v>87</x:v>
      </x:c>
      <x:c r="K17" s="26" t="n">
        <x:v>87</x:v>
      </x:c>
      <x:c r="L17" s="26" t="str">
        <x:v>GREEN</x:v>
      </x:c>
    </x:row>
    <x:row r="18" ht="30" customHeight="1">
      <x:c r="A18" s="26" t="str">
        <x:v>emb_skipatom</x:v>
      </x:c>
      <x:c r="B18" s="26" t="str">
        <x:v>SRC007</x:v>
      </x:c>
      <x:c r="C18" s="26" t="str">
        <x:v>ElementEmbeddings collection</x:v>
      </x:c>
      <x:c r="D18" s="26" t="str">
        <x:v>0.8.0</x:v>
      </x:c>
      <x:c r="E18" s="26" t="n">
        <x:v>0</x:v>
      </x:c>
      <x:c r="F18" s="26" t="n">
        <x:v>200</x:v>
      </x:c>
      <x:c r="G18" s="26" t="n">
        <x:v>200</x:v>
      </x:c>
      <x:c r="H18" s="26" t="str">
        <x:v>G_noninterpretable_representation</x:v>
      </x:c>
      <x:c r="I18" s="26" t="n">
        <x:v>86</x:v>
      </x:c>
      <x:c r="J18" s="26" t="n">
        <x:v>86</x:v>
      </x:c>
      <x:c r="K18" s="26" t="n">
        <x:v>86</x:v>
      </x:c>
      <x:c r="L18" s="26" t="str">
        <x:v>GREEN</x:v>
      </x:c>
    </x:row>
    <x:row r="19" ht="30" customHeight="1">
      <x:c r="A19" s="26" t="str">
        <x:v>matminer_cohesive</x:v>
      </x:c>
      <x:c r="B19" s="26" t="str">
        <x:v>SRC043</x:v>
      </x:c>
      <x:c r="C19" s="26" t="str">
        <x:v>Cohesive-energy table distributed with matminer</x:v>
      </x:c>
      <x:c r="D19" s="26" t="str">
        <x:v>matminer 0.10.1</x:v>
      </x:c>
      <x:c r="E19" s="26" t="n">
        <x:v>1</x:v>
      </x:c>
      <x:c r="F19" s="26" t="n">
        <x:v>0</x:v>
      </x:c>
      <x:c r="G19" s="26" t="n">
        <x:v>1</x:v>
      </x:c>
      <x:c r="H19" s="26" t="str">
        <x:v>A_strict_direct</x:v>
      </x:c>
      <x:c r="I19" s="26" t="n">
        <x:v>90</x:v>
      </x:c>
      <x:c r="J19" s="26" t="n">
        <x:v>90</x:v>
      </x:c>
      <x:c r="K19" s="26" t="n">
        <x:v>90</x:v>
      </x:c>
      <x:c r="L19" s="26" t="str">
        <x:v>HOLD</x:v>
      </x:c>
    </x:row>
    <x:row r="20" ht="30" customHeight="1">
      <x:c r="A20" s="26" t="str">
        <x:v>matminer_deml</x:v>
      </x:c>
      <x:c r="B20" s="26" t="str">
        <x:v>SRC024</x:v>
      </x:c>
      <x:c r="C20" s="26" t="str">
        <x:v>Deml elemental data distributed with matminer</x:v>
      </x:c>
      <x:c r="D20" s="26" t="str">
        <x:v>matminer 0.10.1</x:v>
      </x:c>
      <x:c r="E20" s="26" t="n">
        <x:v>62</x:v>
      </x:c>
      <x:c r="F20" s="26" t="n">
        <x:v>0</x:v>
      </x:c>
      <x:c r="G20" s="26" t="n">
        <x:v>62</x:v>
      </x:c>
      <x:c r="H20" s="26" t="str">
        <x:v>A_strict_direct; C_transparent_derived</x:v>
      </x:c>
      <x:c r="I20" s="26" t="n">
        <x:v>1</x:v>
      </x:c>
      <x:c r="J20" s="26" t="n">
        <x:v>45.18</x:v>
      </x:c>
      <x:c r="K20" s="26" t="n">
        <x:v>118</x:v>
      </x:c>
      <x:c r="L20" s="26" t="str">
        <x:v>AMBER</x:v>
      </x:c>
    </x:row>
    <x:row r="21" ht="30" customHeight="1">
      <x:c r="A21" s="26" t="str">
        <x:v>matminer_jarvis</x:v>
      </x:c>
      <x:c r="B21" s="26" t="str">
        <x:v>SRC004</x:v>
      </x:c>
      <x:c r="C21" s="26" t="str">
        <x:v>JARVIS CFID elemental chemistry table distributed with matminer</x:v>
      </x:c>
      <x:c r="D21" s="26" t="str">
        <x:v>matminer 0.10.1</x:v>
      </x:c>
      <x:c r="E21" s="26" t="n">
        <x:v>84</x:v>
      </x:c>
      <x:c r="F21" s="26" t="n">
        <x:v>354</x:v>
      </x:c>
      <x:c r="G21" s="26" t="n">
        <x:v>438</x:v>
      </x:c>
      <x:c r="H21" s="26" t="str">
        <x:v>A_strict_direct; B_condition_resolved_direct; E_engineered_arithmetic_auxiliary</x:v>
      </x:c>
      <x:c r="I21" s="26" t="n">
        <x:v>82</x:v>
      </x:c>
      <x:c r="J21" s="26" t="n">
        <x:v>82</x:v>
      </x:c>
      <x:c r="K21" s="26" t="n">
        <x:v>82</x:v>
      </x:c>
      <x:c r="L21" s="26" t="str">
        <x:v>AMBER</x:v>
      </x:c>
    </x:row>
    <x:row r="22" ht="30" customHeight="1">
      <x:c r="A22" s="26" t="str">
        <x:v>matminer_magpie</x:v>
      </x:c>
      <x:c r="B22" s="26" t="str">
        <x:v>SRC014</x:v>
      </x:c>
      <x:c r="C22" s="26" t="str">
        <x:v>Magpie elemental-property lookup tables distributed with matminer</x:v>
      </x:c>
      <x:c r="D22" s="26" t="str">
        <x:v>matminer 0.10.1</x:v>
      </x:c>
      <x:c r="E22" s="26" t="n">
        <x:v>89</x:v>
      </x:c>
      <x:c r="F22" s="26" t="n">
        <x:v>4</x:v>
      </x:c>
      <x:c r="G22" s="26" t="n">
        <x:v>93</x:v>
      </x:c>
      <x:c r="H22" s="26" t="str">
        <x:v>A_strict_direct; C_transparent_derived; D_empirical_contextual_auxiliary</x:v>
      </x:c>
      <x:c r="I22" s="26" t="n">
        <x:v>30</x:v>
      </x:c>
      <x:c r="J22" s="26" t="n">
        <x:v>96.82</x:v>
      </x:c>
      <x:c r="K22" s="26" t="n">
        <x:v>112</x:v>
      </x:c>
      <x:c r="L22" s="26" t="str">
        <x:v>AMBER</x:v>
      </x:c>
    </x:row>
    <x:row r="23" ht="30" customHeight="1">
      <x:c r="A23" s="26" t="str">
        <x:v>matminer_miedema</x:v>
      </x:c>
      <x:c r="B23" s="26" t="str">
        <x:v>SRC035</x:v>
      </x:c>
      <x:c r="C23" s="26" t="str">
        <x:v>Miedema tables distributed with matminer</x:v>
      </x:c>
      <x:c r="D23" s="26" t="str">
        <x:v>matminer 0.10.1</x:v>
      </x:c>
      <x:c r="E23" s="26" t="n">
        <x:v>0</x:v>
      </x:c>
      <x:c r="F23" s="26" t="n">
        <x:v>21</x:v>
      </x:c>
      <x:c r="G23" s="26" t="n">
        <x:v>21</x:v>
      </x:c>
      <x:c r="H23" s="26" t="str">
        <x:v>D_empirical_contextual_auxiliary; F_relational_pair_auxiliary</x:v>
      </x:c>
      <x:c r="I23" s="26" t="n">
        <x:v>73</x:v>
      </x:c>
      <x:c r="J23" s="26" t="n">
        <x:v>73.95</x:v>
      </x:c>
      <x:c r="K23" s="26" t="n">
        <x:v>75</x:v>
      </x:c>
      <x:c r="L23" s="26" t="str">
        <x:v>HOLD</x:v>
      </x:c>
    </x:row>
    <x:row r="24" ht="30" customHeight="1">
      <x:c r="A24" s="26" t="str">
        <x:v>mendeleev_derived</x:v>
      </x:c>
      <x:c r="B24" s="26" t="str">
        <x:v>SRC032</x:v>
      </x:c>
      <x:c r="C24" s="26" t="str">
        <x:v>Mendeleev Python package; derived in this work</x:v>
      </x:c>
      <x:c r="D24" s="26" t="str">
        <x:v>1.1.0</x:v>
      </x:c>
      <x:c r="E24" s="26" t="n">
        <x:v>24</x:v>
      </x:c>
      <x:c r="F24" s="26" t="n">
        <x:v>0</x:v>
      </x:c>
      <x:c r="G24" s="26" t="n">
        <x:v>24</x:v>
      </x:c>
      <x:c r="H24" s="26" t="str">
        <x:v>C_transparent_derived</x:v>
      </x:c>
      <x:c r="I24" s="26" t="n">
        <x:v>76</x:v>
      </x:c>
      <x:c r="J24" s="26" t="n">
        <x:v>111</x:v>
      </x:c>
      <x:c r="K24" s="26" t="n">
        <x:v>118</x:v>
      </x:c>
      <x:c r="L24" s="26" t="str">
        <x:v>GREEN</x:v>
      </x:c>
    </x:row>
    <x:row r="25" ht="30" customHeight="1">
      <x:c r="A25" s="26" t="str">
        <x:v>mendeleev_effective_nuclear_charge</x:v>
      </x:c>
      <x:c r="B25" s="26" t="str">
        <x:v>SRC030</x:v>
      </x:c>
      <x:c r="C25" s="26" t="str">
        <x:v>Mendeleev</x:v>
      </x:c>
      <x:c r="D25" s="26" t="str">
        <x:v>1.1.0</x:v>
      </x:c>
      <x:c r="E25" s="26" t="n">
        <x:v>34</x:v>
      </x:c>
      <x:c r="F25" s="26" t="n">
        <x:v>0</x:v>
      </x:c>
      <x:c r="G25" s="26" t="n">
        <x:v>34</x:v>
      </x:c>
      <x:c r="H25" s="26" t="str">
        <x:v>C_transparent_derived</x:v>
      </x:c>
      <x:c r="I25" s="26" t="n">
        <x:v>6</x:v>
      </x:c>
      <x:c r="J25" s="26" t="n">
        <x:v>64.44</x:v>
      </x:c>
      <x:c r="K25" s="26" t="n">
        <x:v>118</x:v>
      </x:c>
      <x:c r="L25" s="26" t="str">
        <x:v>GREEN</x:v>
      </x:c>
    </x:row>
    <x:row r="26" ht="30" customHeight="1">
      <x:c r="A26" s="26" t="str">
        <x:v>mendeleev_electron_configuration</x:v>
      </x:c>
      <x:c r="B26" s="26" t="str">
        <x:v>SRC037</x:v>
      </x:c>
      <x:c r="C26" s="26" t="str">
        <x:v>Mendeleev Python package</x:v>
      </x:c>
      <x:c r="D26" s="26" t="str">
        <x:v>1.1.0</x:v>
      </x:c>
      <x:c r="E26" s="26" t="n">
        <x:v>19</x:v>
      </x:c>
      <x:c r="F26" s="26" t="n">
        <x:v>0</x:v>
      </x:c>
      <x:c r="G26" s="26" t="n">
        <x:v>19</x:v>
      </x:c>
      <x:c r="H26" s="26" t="str">
        <x:v>A_strict_direct</x:v>
      </x:c>
      <x:c r="I26" s="26" t="n">
        <x:v>118</x:v>
      </x:c>
      <x:c r="J26" s="26" t="n">
        <x:v>118</x:v>
      </x:c>
      <x:c r="K26" s="26" t="n">
        <x:v>118</x:v>
      </x:c>
      <x:c r="L26" s="26" t="str">
        <x:v>GREEN</x:v>
      </x:c>
    </x:row>
    <x:row r="27" ht="30" customHeight="1">
      <x:c r="A27" s="26" t="str">
        <x:v>mendeleev_electronegativity_extended</x:v>
      </x:c>
      <x:c r="B27" s="26" t="str">
        <x:v>SRC042</x:v>
      </x:c>
      <x:c r="C27" s="26" t="str">
        <x:v>Mendeleev</x:v>
      </x:c>
      <x:c r="D27" s="26" t="str">
        <x:v>1.1.0</x:v>
      </x:c>
      <x:c r="E27" s="26" t="n">
        <x:v>6</x:v>
      </x:c>
      <x:c r="F27" s="26" t="n">
        <x:v>0</x:v>
      </x:c>
      <x:c r="G27" s="26" t="n">
        <x:v>6</x:v>
      </x:c>
      <x:c r="H27" s="26" t="str">
        <x:v>C_transparent_derived</x:v>
      </x:c>
      <x:c r="I27" s="26" t="n">
        <x:v>108</x:v>
      </x:c>
      <x:c r="J27" s="26" t="n">
        <x:v>116.33</x:v>
      </x:c>
      <x:c r="K27" s="26" t="n">
        <x:v>118</x:v>
      </x:c>
      <x:c r="L27" s="26" t="str">
        <x:v>AMBER</x:v>
      </x:c>
    </x:row>
    <x:row r="28" ht="30" customHeight="1">
      <x:c r="A28" s="26" t="str">
        <x:v>mendeleev_element</x:v>
      </x:c>
      <x:c r="B28" s="26" t="str">
        <x:v>SRC013</x:v>
      </x:c>
      <x:c r="C28" s="26" t="str">
        <x:v>Mendeleev Python package</x:v>
      </x:c>
      <x:c r="D28" s="26" t="str">
        <x:v>1.1.0</x:v>
      </x:c>
      <x:c r="E28" s="26" t="n">
        <x:v>63</x:v>
      </x:c>
      <x:c r="F28" s="26" t="n">
        <x:v>34</x:v>
      </x:c>
      <x:c r="G28" s="26" t="n">
        <x:v>97</x:v>
      </x:c>
      <x:c r="H28" s="26" t="str">
        <x:v>A_strict_direct; D_empirical_contextual_auxiliary</x:v>
      </x:c>
      <x:c r="I28" s="26" t="n">
        <x:v>9</x:v>
      </x:c>
      <x:c r="J28" s="26" t="n">
        <x:v>82.62</x:v>
      </x:c>
      <x:c r="K28" s="26" t="n">
        <x:v>118</x:v>
      </x:c>
      <x:c r="L28" s="26" t="str">
        <x:v>GREEN</x:v>
      </x:c>
    </x:row>
    <x:row r="29" ht="30" customHeight="1">
      <x:c r="A29" s="26" t="str">
        <x:v>mendeleev_ionic_radius</x:v>
      </x:c>
      <x:c r="B29" s="26" t="str">
        <x:v>SRC005</x:v>
      </x:c>
      <x:c r="C29" s="26" t="str">
        <x:v>Mendeleev ionic-radii table (Shannon-type data)</x:v>
      </x:c>
      <x:c r="D29" s="26" t="str">
        <x:v>1.1.0</x:v>
      </x:c>
      <x:c r="E29" s="26" t="n">
        <x:v>328</x:v>
      </x:c>
      <x:c r="F29" s="26" t="n">
        <x:v>0</x:v>
      </x:c>
      <x:c r="G29" s="26" t="n">
        <x:v>328</x:v>
      </x:c>
      <x:c r="H29" s="26" t="str">
        <x:v>C_transparent_derived</x:v>
      </x:c>
      <x:c r="I29" s="26" t="n">
        <x:v>1</x:v>
      </x:c>
      <x:c r="J29" s="26" t="n">
        <x:v>34.99</x:v>
      </x:c>
      <x:c r="K29" s="26" t="n">
        <x:v>98</x:v>
      </x:c>
      <x:c r="L29" s="26" t="str">
        <x:v>AMBER</x:v>
      </x:c>
    </x:row>
    <x:row r="30" ht="30" customHeight="1">
      <x:c r="A30" s="26" t="str">
        <x:v>mendeleev_ionization</x:v>
      </x:c>
      <x:c r="B30" s="26" t="str">
        <x:v>SRC022</x:v>
      </x:c>
      <x:c r="C30" s="26" t="str">
        <x:v>Mendeleev ionization-energy table</x:v>
      </x:c>
      <x:c r="D30" s="26" t="str">
        <x:v>1.1.0</x:v>
      </x:c>
      <x:c r="E30" s="26" t="n">
        <x:v>67</x:v>
      </x:c>
      <x:c r="F30" s="26" t="n">
        <x:v>0</x:v>
      </x:c>
      <x:c r="G30" s="26" t="n">
        <x:v>67</x:v>
      </x:c>
      <x:c r="H30" s="26" t="str">
        <x:v>B_condition_resolved_direct; C_transparent_derived</x:v>
      </x:c>
      <x:c r="I30" s="26" t="n">
        <x:v>78</x:v>
      </x:c>
      <x:c r="J30" s="26" t="n">
        <x:v>99.4</x:v>
      </x:c>
      <x:c r="K30" s="26" t="n">
        <x:v>110</x:v>
      </x:c>
      <x:c r="L30" s="26" t="str">
        <x:v>GREEN</x:v>
      </x:c>
    </x:row>
    <x:row r="31" ht="30" customHeight="1">
      <x:c r="A31" s="26" t="str">
        <x:v>mendeleev_ionization_state</x:v>
      </x:c>
      <x:c r="B31" s="26" t="str">
        <x:v>SRC012</x:v>
      </x:c>
      <x:c r="C31" s="26" t="str">
        <x:v>Mendeleev ionizationenergies table</x:v>
      </x:c>
      <x:c r="D31" s="26" t="str">
        <x:v>1.1.0</x:v>
      </x:c>
      <x:c r="E31" s="26" t="n">
        <x:v>99</x:v>
      </x:c>
      <x:c r="F31" s="26" t="n">
        <x:v>0</x:v>
      </x:c>
      <x:c r="G31" s="26" t="n">
        <x:v>99</x:v>
      </x:c>
      <x:c r="H31" s="26" t="str">
        <x:v>B_condition_resolved_direct</x:v>
      </x:c>
      <x:c r="I31" s="26" t="n">
        <x:v>81</x:v>
      </x:c>
      <x:c r="J31" s="26" t="n">
        <x:v>98.12</x:v>
      </x:c>
      <x:c r="K31" s="26" t="n">
        <x:v>108</x:v>
      </x:c>
      <x:c r="L31" s="26" t="str">
        <x:v>GREEN</x:v>
      </x:c>
    </x:row>
    <x:row r="32" ht="30" customHeight="1">
      <x:c r="A32" s="26" t="str">
        <x:v>mendeleev_ionization_uncertainty</x:v>
      </x:c>
      <x:c r="B32" s="26" t="str">
        <x:v>SRC020</x:v>
      </x:c>
      <x:c r="C32" s="26" t="str">
        <x:v>Mendeleev ionization-energy table</x:v>
      </x:c>
      <x:c r="D32" s="26" t="str">
        <x:v>1.1.0</x:v>
      </x:c>
      <x:c r="E32" s="26" t="n">
        <x:v>74</x:v>
      </x:c>
      <x:c r="F32" s="26" t="n">
        <x:v>0</x:v>
      </x:c>
      <x:c r="G32" s="26" t="n">
        <x:v>74</x:v>
      </x:c>
      <x:c r="H32" s="26" t="str">
        <x:v>B_condition_resolved_direct</x:v>
      </x:c>
      <x:c r="I32" s="26" t="n">
        <x:v>78</x:v>
      </x:c>
      <x:c r="J32" s="26" t="n">
        <x:v>95.32</x:v>
      </x:c>
      <x:c r="K32" s="26" t="n">
        <x:v>110</x:v>
      </x:c>
      <x:c r="L32" s="26" t="str">
        <x:v>GREEN</x:v>
      </x:c>
    </x:row>
    <x:row r="33" ht="30" customHeight="1">
      <x:c r="A33" s="26" t="str">
        <x:v>mendeleev_isotope</x:v>
      </x:c>
      <x:c r="B33" s="26" t="str">
        <x:v>SRC025</x:v>
      </x:c>
      <x:c r="C33" s="26" t="str">
        <x:v>Mendeleev isotope table</x:v>
      </x:c>
      <x:c r="D33" s="26" t="str">
        <x:v>1.1.0</x:v>
      </x:c>
      <x:c r="E33" s="26" t="n">
        <x:v>55</x:v>
      </x:c>
      <x:c r="F33" s="26" t="n">
        <x:v>7</x:v>
      </x:c>
      <x:c r="G33" s="26" t="n">
        <x:v>62</x:v>
      </x:c>
      <x:c r="H33" s="26" t="str">
        <x:v>C_transparent_derived; D_empirical_contextual_auxiliary</x:v>
      </x:c>
      <x:c r="I33" s="26" t="n">
        <x:v>84</x:v>
      </x:c>
      <x:c r="J33" s="26" t="n">
        <x:v>111.32</x:v>
      </x:c>
      <x:c r="K33" s="26" t="n">
        <x:v>118</x:v>
      </x:c>
      <x:c r="L33" s="26" t="str">
        <x:v>GREEN</x:v>
      </x:c>
    </x:row>
    <x:row r="34" ht="30" customHeight="1">
      <x:c r="A34" s="26" t="str">
        <x:v>mendeleev_isotope_decay_modes</x:v>
      </x:c>
      <x:c r="B34" s="26" t="str">
        <x:v>SRC026</x:v>
      </x:c>
      <x:c r="C34" s="26" t="str">
        <x:v>Mendeleev isotope decay-mode table</x:v>
      </x:c>
      <x:c r="D34" s="26" t="str">
        <x:v>1.1.0</x:v>
      </x:c>
      <x:c r="E34" s="26" t="n">
        <x:v>47</x:v>
      </x:c>
      <x:c r="F34" s="26" t="n">
        <x:v>0</x:v>
      </x:c>
      <x:c r="G34" s="26" t="n">
        <x:v>47</x:v>
      </x:c>
      <x:c r="H34" s="26" t="str">
        <x:v>C_transparent_derived</x:v>
      </x:c>
      <x:c r="I34" s="26" t="n">
        <x:v>118</x:v>
      </x:c>
      <x:c r="J34" s="26" t="n">
        <x:v>118</x:v>
      </x:c>
      <x:c r="K34" s="26" t="n">
        <x:v>118</x:v>
      </x:c>
      <x:c r="L34" s="26" t="str">
        <x:v>GREEN</x:v>
      </x:c>
    </x:row>
    <x:row r="35" ht="30" customHeight="1">
      <x:c r="A35" s="26" t="str">
        <x:v>mendeleev_isotope_extended</x:v>
      </x:c>
      <x:c r="B35" s="26" t="str">
        <x:v>SRC029</x:v>
      </x:c>
      <x:c r="C35" s="26" t="str">
        <x:v>Mendeleev isotope table</x:v>
      </x:c>
      <x:c r="D35" s="26" t="str">
        <x:v>1.1.0</x:v>
      </x:c>
      <x:c r="E35" s="26" t="n">
        <x:v>40</x:v>
      </x:c>
      <x:c r="F35" s="26" t="n">
        <x:v>0</x:v>
      </x:c>
      <x:c r="G35" s="26" t="n">
        <x:v>40</x:v>
      </x:c>
      <x:c r="H35" s="26" t="str">
        <x:v>C_transparent_derived</x:v>
      </x:c>
      <x:c r="I35" s="26" t="n">
        <x:v>84</x:v>
      </x:c>
      <x:c r="J35" s="26" t="n">
        <x:v>109.53</x:v>
      </x:c>
      <x:c r="K35" s="26" t="n">
        <x:v>118</x:v>
      </x:c>
      <x:c r="L35" s="26" t="str">
        <x:v>GREEN</x:v>
      </x:c>
    </x:row>
    <x:row r="36" ht="30" customHeight="1">
      <x:c r="A36" s="26" t="str">
        <x:v>mendeleev_li_xue_summary</x:v>
      </x:c>
      <x:c r="B36" s="26" t="str">
        <x:v>SRC017</x:v>
      </x:c>
      <x:c r="C36" s="26" t="str">
        <x:v>Mendeleev ionic radii and Li–Xue electronegativity</x:v>
      </x:c>
      <x:c r="D36" s="26" t="str">
        <x:v>1.1.0</x:v>
      </x:c>
      <x:c r="E36" s="26" t="n">
        <x:v>80</x:v>
      </x:c>
      <x:c r="F36" s="26" t="n">
        <x:v>0</x:v>
      </x:c>
      <x:c r="G36" s="26" t="n">
        <x:v>80</x:v>
      </x:c>
      <x:c r="H36" s="26" t="str">
        <x:v>C_transparent_derived</x:v>
      </x:c>
      <x:c r="I36" s="26" t="n">
        <x:v>3</x:v>
      </x:c>
      <x:c r="J36" s="26" t="n">
        <x:v>25.12</x:v>
      </x:c>
      <x:c r="K36" s="26" t="n">
        <x:v>60</x:v>
      </x:c>
      <x:c r="L36" s="26" t="str">
        <x:v>AMBER</x:v>
      </x:c>
    </x:row>
    <x:row r="37" ht="30" customHeight="1">
      <x:c r="A37" s="26" t="str">
        <x:v>mendeleev_oxidation</x:v>
      </x:c>
      <x:c r="B37" s="26" t="str">
        <x:v>SRC018</x:v>
      </x:c>
      <x:c r="C37" s="26" t="str">
        <x:v>Mendeleev oxidation-state table</x:v>
      </x:c>
      <x:c r="D37" s="26" t="str">
        <x:v>1.1.0</x:v>
      </x:c>
      <x:c r="E37" s="26" t="n">
        <x:v>78</x:v>
      </x:c>
      <x:c r="F37" s="26" t="n">
        <x:v>0</x:v>
      </x:c>
      <x:c r="G37" s="26" t="n">
        <x:v>78</x:v>
      </x:c>
      <x:c r="H37" s="26" t="str">
        <x:v>C_transparent_derived</x:v>
      </x:c>
      <x:c r="I37" s="26" t="n">
        <x:v>100</x:v>
      </x:c>
      <x:c r="J37" s="26" t="n">
        <x:v>110.29</x:v>
      </x:c>
      <x:c r="K37" s="26" t="n">
        <x:v>112</x:v>
      </x:c>
      <x:c r="L37" s="26" t="str">
        <x:v>GREEN</x:v>
      </x:c>
    </x:row>
    <x:row r="38" ht="30" customHeight="1">
      <x:c r="A38" s="26" t="str">
        <x:v>mendeleev_phase</x:v>
      </x:c>
      <x:c r="B38" s="26" t="str">
        <x:v>SRC027</x:v>
      </x:c>
      <x:c r="C38" s="26" t="str">
        <x:v>Mendeleev phase-transition table</x:v>
      </x:c>
      <x:c r="D38" s="26" t="str">
        <x:v>1.1.0</x:v>
      </x:c>
      <x:c r="E38" s="26" t="n">
        <x:v>46</x:v>
      </x:c>
      <x:c r="F38" s="26" t="n">
        <x:v>0</x:v>
      </x:c>
      <x:c r="G38" s="26" t="n">
        <x:v>46</x:v>
      </x:c>
      <x:c r="H38" s="26" t="str">
        <x:v>C_transparent_derived</x:v>
      </x:c>
      <x:c r="I38" s="26" t="n">
        <x:v>13</x:v>
      </x:c>
      <x:c r="J38" s="26" t="n">
        <x:v>57.74</x:v>
      </x:c>
      <x:c r="K38" s="26" t="n">
        <x:v>103</x:v>
      </x:c>
      <x:c r="L38" s="26" t="str">
        <x:v>GREEN</x:v>
      </x:c>
    </x:row>
    <x:row r="39" ht="30" customHeight="1">
      <x:c r="A39" s="26" t="str">
        <x:v>mendeleev_scattering_factors</x:v>
      </x:c>
      <x:c r="B39" s="26" t="str">
        <x:v>SRC036</x:v>
      </x:c>
      <x:c r="C39" s="26" t="str">
        <x:v>Mendeleev scattering_factors table</x:v>
      </x:c>
      <x:c r="D39" s="26" t="str">
        <x:v>1.1.0</x:v>
      </x:c>
      <x:c r="E39" s="26" t="n">
        <x:v>20</x:v>
      </x:c>
      <x:c r="F39" s="26" t="n">
        <x:v>0</x:v>
      </x:c>
      <x:c r="G39" s="26" t="n">
        <x:v>20</x:v>
      </x:c>
      <x:c r="H39" s="26" t="str">
        <x:v>B_condition_resolved_direct</x:v>
      </x:c>
      <x:c r="I39" s="26" t="n">
        <x:v>92</x:v>
      </x:c>
      <x:c r="J39" s="26" t="n">
        <x:v>92</x:v>
      </x:c>
      <x:c r="K39" s="26" t="n">
        <x:v>92</x:v>
      </x:c>
      <x:c r="L39" s="26" t="str">
        <x:v>GREEN</x:v>
      </x:c>
    </x:row>
    <x:row r="40" ht="30" customHeight="1">
      <x:c r="A40" s="26" t="str">
        <x:v>mendeleev_screening</x:v>
      </x:c>
      <x:c r="B40" s="26" t="str">
        <x:v>SRC039</x:v>
      </x:c>
      <x:c r="C40" s="26" t="str">
        <x:v>Mendeleev screening-constant table</x:v>
      </x:c>
      <x:c r="D40" s="26" t="str">
        <x:v>1.1.0</x:v>
      </x:c>
      <x:c r="E40" s="26" t="n">
        <x:v>15</x:v>
      </x:c>
      <x:c r="F40" s="26" t="n">
        <x:v>0</x:v>
      </x:c>
      <x:c r="G40" s="26" t="n">
        <x:v>15</x:v>
      </x:c>
      <x:c r="H40" s="26" t="str">
        <x:v>B_condition_resolved_direct</x:v>
      </x:c>
      <x:c r="I40" s="26" t="n">
        <x:v>6</x:v>
      </x:c>
      <x:c r="J40" s="26" t="n">
        <x:v>54.07</x:v>
      </x:c>
      <x:c r="K40" s="26" t="n">
        <x:v>86</x:v>
      </x:c>
      <x:c r="L40" s="26" t="str">
        <x:v>GREEN</x:v>
      </x:c>
    </x:row>
    <x:row r="41" ht="30" customHeight="1">
      <x:c r="A41" s="26" t="str">
        <x:v>nist_atomic_orbital_lda</x:v>
      </x:c>
      <x:c r="B41" s="26" t="str">
        <x:v>SRC033</x:v>
      </x:c>
      <x:c r="C41" s="26" t="str">
        <x:v>NIST Atomic Reference Data via pymatgen-core</x:v>
      </x:c>
      <x:c r="D41" s="26" t="str">
        <x:v>2026.7.16</x:v>
      </x:c>
      <x:c r="E41" s="26" t="n">
        <x:v>18</x:v>
      </x:c>
      <x:c r="F41" s="26" t="n">
        <x:v>0</x:v>
      </x:c>
      <x:c r="G41" s="26" t="n">
        <x:v>18</x:v>
      </x:c>
      <x:c r="H41" s="26" t="str">
        <x:v>B_condition_resolved_direct</x:v>
      </x:c>
      <x:c r="I41" s="26" t="n">
        <x:v>2</x:v>
      </x:c>
      <x:c r="J41" s="26" t="n">
        <x:v>50.83</x:v>
      </x:c>
      <x:c r="K41" s="26" t="n">
        <x:v>92</x:v>
      </x:c>
      <x:c r="L41" s="26" t="str">
        <x:v>GREEN</x:v>
      </x:c>
    </x:row>
    <x:row r="42" ht="30" customHeight="1">
      <x:c r="A42" s="26" t="str">
        <x:v>nist_atomic_orbital_lda_derived</x:v>
      </x:c>
      <x:c r="B42" s="26" t="str">
        <x:v>SRC033</x:v>
      </x:c>
      <x:c r="C42" s="26" t="str">
        <x:v>NIST Atomic Reference Data via pymatgen-core</x:v>
      </x:c>
      <x:c r="D42" s="26" t="str">
        <x:v>2026.7.16</x:v>
      </x:c>
      <x:c r="E42" s="26" t="n">
        <x:v>5</x:v>
      </x:c>
      <x:c r="F42" s="26" t="n">
        <x:v>0</x:v>
      </x:c>
      <x:c r="G42" s="26" t="n">
        <x:v>5</x:v>
      </x:c>
      <x:c r="H42" s="26" t="str">
        <x:v>C_transparent_derived</x:v>
      </x:c>
      <x:c r="I42" s="26" t="n">
        <x:v>90</x:v>
      </x:c>
      <x:c r="J42" s="26" t="n">
        <x:v>91.6</x:v>
      </x:c>
      <x:c r="K42" s="26" t="n">
        <x:v>92</x:v>
      </x:c>
      <x:c r="L42" s="26" t="str">
        <x:v>GREEN</x:v>
      </x:c>
    </x:row>
    <x:row r="43" ht="30" customHeight="1">
      <x:c r="A43" s="26" t="str">
        <x:v>nist_neutron_natural_element</x:v>
      </x:c>
      <x:c r="B43" s="26" t="str">
        <x:v>SRC041</x:v>
      </x:c>
      <x:c r="C43" s="26" t="str">
        <x:v>NIST NCNR / Sears via periodictable</x:v>
      </x:c>
      <x:c r="D43" s="26" t="str">
        <x:v>2.0.2</x:v>
      </x:c>
      <x:c r="E43" s="26" t="n">
        <x:v>6</x:v>
      </x:c>
      <x:c r="F43" s="26" t="n">
        <x:v>0</x:v>
      </x:c>
      <x:c r="G43" s="26" t="n">
        <x:v>6</x:v>
      </x:c>
      <x:c r="H43" s="26" t="str">
        <x:v>B_condition_resolved_direct</x:v>
      </x:c>
      <x:c r="I43" s="26" t="n">
        <x:v>91</x:v>
      </x:c>
      <x:c r="J43" s="26" t="n">
        <x:v>95.5</x:v>
      </x:c>
      <x:c r="K43" s="26" t="n">
        <x:v>118</x:v>
      </x:c>
      <x:c r="L43" s="26" t="str">
        <x:v>GREEN</x:v>
      </x:c>
    </x:row>
    <x:row r="44" ht="30" customHeight="1">
      <x:c r="A44" s="26" t="str">
        <x:v>nist_neutron_natural_element_derived</x:v>
      </x:c>
      <x:c r="B44" s="26" t="str">
        <x:v>SRC041</x:v>
      </x:c>
      <x:c r="C44" s="26" t="str">
        <x:v>NIST NCNR / Sears via periodictable</x:v>
      </x:c>
      <x:c r="D44" s="26" t="str">
        <x:v>2.0.2</x:v>
      </x:c>
      <x:c r="E44" s="26" t="n">
        <x:v>1</x:v>
      </x:c>
      <x:c r="F44" s="26" t="n">
        <x:v>0</x:v>
      </x:c>
      <x:c r="G44" s="26" t="n">
        <x:v>1</x:v>
      </x:c>
      <x:c r="H44" s="26" t="str">
        <x:v>C_transparent_derived</x:v>
      </x:c>
      <x:c r="I44" s="26" t="n">
        <x:v>91</x:v>
      </x:c>
      <x:c r="J44" s="26" t="n">
        <x:v>91</x:v>
      </x:c>
      <x:c r="K44" s="26" t="n">
        <x:v>91</x:v>
      </x:c>
      <x:c r="L44" s="26" t="str">
        <x:v>GREEN</x:v>
      </x:c>
    </x:row>
    <x:row r="45" ht="30" customHeight="1">
      <x:c r="A45" s="26" t="str">
        <x:v>xenonpy_original</x:v>
      </x:c>
      <x:c r="B45" s="26" t="str">
        <x:v>SRC021</x:v>
      </x:c>
      <x:c r="C45" s="26" t="str">
        <x:v>XenonPy (user-supplied element_data.csv)</x:v>
      </x:c>
      <x:c r="D45" s="26" t="str">
        <x:v>source file supplied by user</x:v>
      </x:c>
      <x:c r="E45" s="26" t="n">
        <x:v>71</x:v>
      </x:c>
      <x:c r="F45" s="26" t="n">
        <x:v>1</x:v>
      </x:c>
      <x:c r="G45" s="26" t="n">
        <x:v>72</x:v>
      </x:c>
      <x:c r="H45" s="26" t="str">
        <x:v>A_strict_direct; C_transparent_derived; D_empirical_contextual_auxiliary</x:v>
      </x:c>
      <x:c r="I45" s="26" t="n">
        <x:v>9</x:v>
      </x:c>
      <x:c r="J45" s="26" t="n">
        <x:v>87.03</x:v>
      </x:c>
      <x:c r="K45" s="26" t="n">
        <x:v>118</x:v>
      </x:c>
      <x:c r="L45" s="26" t="str">
        <x:v>AMBER</x:v>
      </x:c>
    </x:row>
    <x:row r="46" ht="30" customHeight="1">
      <x:c r="A46" s="26" t="str">
        <x:v>xraydb_absorption_edges</x:v>
      </x:c>
      <x:c r="B46" s="26" t="str">
        <x:v>SRC019</x:v>
      </x:c>
      <x:c r="C46" s="26" t="str">
        <x:v>XrayDB</x:v>
      </x:c>
      <x:c r="D46" s="26" t="str">
        <x:v>4.5.8</x:v>
      </x:c>
      <x:c r="E46" s="26" t="n">
        <x:v>64</x:v>
      </x:c>
      <x:c r="F46" s="26" t="n">
        <x:v>0</x:v>
      </x:c>
      <x:c r="G46" s="26" t="n">
        <x:v>64</x:v>
      </x:c>
      <x:c r="H46" s="26" t="str">
        <x:v>B_condition_resolved_direct</x:v>
      </x:c>
      <x:c r="I46" s="26" t="n">
        <x:v>41</x:v>
      </x:c>
      <x:c r="J46" s="26" t="n">
        <x:v>74.69</x:v>
      </x:c>
      <x:c r="K46" s="26" t="n">
        <x:v>98</x:v>
      </x:c>
      <x:c r="L46" s="26" t="str">
        <x:v>GREEN</x:v>
      </x:c>
    </x:row>
    <x:row r="47" ht="30" customHeight="1">
      <x:c r="A47" s="26" t="str">
        <x:v>xraydb_emission_lines</x:v>
      </x:c>
      <x:c r="B47" s="26" t="str">
        <x:v>SRC019</x:v>
      </x:c>
      <x:c r="C47" s="26" t="str">
        <x:v>XrayDB</x:v>
      </x:c>
      <x:c r="D47" s="26" t="str">
        <x:v>4.5.8</x:v>
      </x:c>
      <x:c r="E47" s="26" t="n">
        <x:v>12</x:v>
      </x:c>
      <x:c r="F47" s="26" t="n">
        <x:v>0</x:v>
      </x:c>
      <x:c r="G47" s="26" t="n">
        <x:v>12</x:v>
      </x:c>
      <x:c r="H47" s="26" t="str">
        <x:v>B_condition_resolved_direct</x:v>
      </x:c>
      <x:c r="I47" s="26" t="n">
        <x:v>54</x:v>
      </x:c>
      <x:c r="J47" s="26" t="n">
        <x:v>80.83</x:v>
      </x:c>
      <x:c r="K47" s="26" t="n">
        <x:v>95</x:v>
      </x:c>
      <x:c r="L47" s="26" t="str">
        <x:v>GREEN</x:v>
      </x:c>
    </x:row>
    <x:row r="48" ht="30" customHeight="1">
      <x:c r="A48" s="26" t="str">
        <x:v>xraydb_mass_attenuation</x:v>
      </x:c>
      <x:c r="B48" s="26" t="str">
        <x:v>SRC031</x:v>
      </x:c>
      <x:c r="C48" s="26" t="str">
        <x:v>XrayDB / Elam tables</x:v>
      </x:c>
      <x:c r="D48" s="26" t="str">
        <x:v>4.5.8</x:v>
      </x:c>
      <x:c r="E48" s="26" t="n">
        <x:v>28</x:v>
      </x:c>
      <x:c r="F48" s="26" t="n">
        <x:v>0</x:v>
      </x:c>
      <x:c r="G48" s="26" t="n">
        <x:v>28</x:v>
      </x:c>
      <x:c r="H48" s="26" t="str">
        <x:v>B_condition_resolved_direct</x:v>
      </x:c>
      <x:c r="I48" s="26" t="n">
        <x:v>98</x:v>
      </x:c>
      <x:c r="J48" s="26" t="n">
        <x:v>98</x:v>
      </x:c>
      <x:c r="K48" s="26" t="n">
        <x:v>98</x:v>
      </x:c>
      <x:c r="L48" s="26" t="str">
        <x:v>GREEN</x:v>
      </x:c>
    </x:row>
  </x:sheetData>
  <x:conditionalFormatting sqref="L2:L48">
    <x:cfRule type="expression" dxfId="10" priority="1">
      <x:formula>L2="GREEN"</x:formula>
    </x:cfRule>
    <x:cfRule type="expression" dxfId="11" priority="2">
      <x:formula>L2="AMBER"</x:formula>
    </x:cfRule>
    <x:cfRule type="expression" dxfId="12" priority="3">
      <x:formula>L2="HOLD"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d6866c7d9c04ef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55" hidden="0" customWidth="1"/>
    <x:col min="5" max="5" width="35" hidden="0" customWidth="1"/>
    <x:col min="6" max="6" width="45" hidden="0" customWidth="1"/>
    <x:col min="7" max="7" width="16" hidden="0" customWidth="1"/>
    <x:col min="8" max="8" width="14" hidden="0" customWidth="1"/>
    <x:col min="9" max="9" width="15" hidden="0" customWidth="1"/>
  </x:cols>
  <x:sheetData>
    <x:row r="1" ht="42" customHeight="1">
      <x:c r="A1" s="19" t="str">
        <x:v>Action ID</x:v>
      </x:c>
      <x:c r="B1" s="19" t="str">
        <x:v>Priority</x:v>
      </x:c>
      <x:c r="C1" s="19" t="str">
        <x:v>Gate</x:v>
      </x:c>
      <x:c r="D1" s="19" t="str">
        <x:v>Action</x:v>
      </x:c>
      <x:c r="E1" s="19" t="str">
        <x:v>Applies to</x:v>
      </x:c>
      <x:c r="F1" s="19" t="str">
        <x:v>Evidence of completion</x:v>
      </x:c>
      <x:c r="G1" s="19" t="str">
        <x:v>Owner</x:v>
      </x:c>
      <x:c r="H1" s="19" t="str">
        <x:v>Target date</x:v>
      </x:c>
      <x:c r="I1" s="19" t="str">
        <x:v>Status</x:v>
      </x:c>
    </x:row>
    <x:row r="2" ht="42" customHeight="1">
      <x:c r="A2" s="26" t="str">
        <x:v>ACT-001</x:v>
      </x:c>
      <x:c r="B2" s="26" t="str">
        <x:v>Critical</x:v>
      </x:c>
      <x:c r="C2" s="26" t="str">
        <x:v>Licence</x:v>
      </x:c>
      <x:c r="D2" s="26" t="str">
        <x:v>Resolve every HOLD source by permission, explicit licence, replacement, exclusion, or script-only distribution.</x:v>
      </x:c>
      <x:c r="E2" s="26" t="str">
        <x:v>SRC001, SRC016, SRC035, SRC043, SRC044</x:v>
      </x:c>
      <x:c r="F2" s="26" t="str">
        <x:v>Written permissions/licence snapshots or exclusion commit</x:v>
      </x:c>
      <x:c r="G2" s="26" t="str"/>
      <x:c r="H2" s="26" t="str"/>
      <x:c r="I2" s="26" t="str">
        <x:v>Open</x:v>
      </x:c>
    </x:row>
    <x:row r="3" ht="42" customHeight="1">
      <x:c r="A3" s="26" t="str">
        <x:v>ACT-002</x:v>
      </x:c>
      <x:c r="B3" s="26" t="str">
        <x:v>High</x:v>
      </x:c>
      <x:c r="C3" s="26" t="str">
        <x:v>Licence</x:v>
      </x:c>
      <x:c r="D3" s="26" t="str">
        <x:v>Close AMBER rows by pinning exact tags/commits/checkpoints/files and storing hashes.</x:v>
      </x:c>
      <x:c r="E3" s="26" t="str">
        <x:v>13 AMBER source rows</x:v>
      </x:c>
      <x:c r="F3" s="26" t="str">
        <x:v>Completed source registry and LICENSES/ archive</x:v>
      </x:c>
      <x:c r="G3" s="26" t="str"/>
      <x:c r="H3" s="26" t="str"/>
      <x:c r="I3" s="26" t="str">
        <x:v>Open</x:v>
      </x:c>
    </x:row>
    <x:row r="4" ht="42" customHeight="1">
      <x:c r="A4" s="26" t="str">
        <x:v>ACT-003</x:v>
      </x:c>
      <x:c r="B4" s="26" t="str">
        <x:v>Critical</x:v>
      </x:c>
      <x:c r="C4" s="26" t="str">
        <x:v>Release</x:v>
      </x:c>
      <x:c r="D4" s="26" t="str">
        <x:v>Separate code, project-authored metadata, and third-party-data licensing.</x:v>
      </x:c>
      <x:c r="E4" s="26" t="str">
        <x:v>Whole repository</x:v>
      </x:c>
      <x:c r="F4" s="26" t="str">
        <x:v>LICENSE, DATA_LICENSE.md, THIRD_PARTY_LICENSES.md, ATTRIBUTION.md</x:v>
      </x:c>
      <x:c r="G4" s="26" t="str"/>
      <x:c r="H4" s="26" t="str"/>
      <x:c r="I4" s="26" t="str">
        <x:v>Open</x:v>
      </x:c>
    </x:row>
    <x:row r="5" ht="42" customHeight="1">
      <x:c r="A5" s="26" t="str">
        <x:v>ACT-004</x:v>
      </x:c>
      <x:c r="B5" s="26" t="str">
        <x:v>High</x:v>
      </x:c>
      <x:c r="C5" s="26" t="str">
        <x:v>Evidence</x:v>
      </x:c>
      <x:c r="D5" s="26" t="str">
        <x:v>Archive each licence text and source page with retrieval date and checksum.</x:v>
      </x:c>
      <x:c r="E5" s="26" t="str">
        <x:v>All 44 sources</x:v>
      </x:c>
      <x:c r="F5" s="26" t="str">
        <x:v>LICENSES/ plus evidence_index.csv</x:v>
      </x:c>
      <x:c r="G5" s="26" t="str"/>
      <x:c r="H5" s="26" t="str"/>
      <x:c r="I5" s="26" t="str">
        <x:v>Open</x:v>
      </x:c>
    </x:row>
    <x:row r="6" ht="42" customHeight="1">
      <x:c r="A6" s="26" t="str">
        <x:v>ACT-005</x:v>
      </x:c>
      <x:c r="B6" s="26" t="str">
        <x:v>High</x:v>
      </x:c>
      <x:c r="C6" s="26" t="str">
        <x:v>Provenance</x:v>
      </x:c>
      <x:c r="D6" s="26" t="str">
        <x:v>Pin exact XenonPy source release/file and replace the ambiguous user-supplied origin if necessary.</x:v>
      </x:c>
      <x:c r="E6" s="26" t="str">
        <x:v>SRC021</x:v>
      </x:c>
      <x:c r="F6" s="26" t="str">
        <x:v>Source URL, tag/commit, file hash, reproducible fetch</x:v>
      </x:c>
      <x:c r="G6" s="26" t="str"/>
      <x:c r="H6" s="26" t="str"/>
      <x:c r="I6" s="26" t="str">
        <x:v>Open</x:v>
      </x:c>
    </x:row>
    <x:row r="7" ht="42" customHeight="1">
      <x:c r="A7" s="26" t="str">
        <x:v>ACT-006</x:v>
      </x:c>
      <x:c r="B7" s="26" t="str">
        <x:v>High</x:v>
      </x:c>
      <x:c r="C7" s="26" t="str">
        <x:v>Models</x:v>
      </x:c>
      <x:c r="D7" s="26" t="str">
        <x:v>Pin model/checkpoint identifiers and vector-extraction methods.</x:v>
      </x:c>
      <x:c r="E7" s="26" t="str">
        <x:v>CrystaLLM, Chemeleon, ORB, MACE, SevenNet, CHGNet, MEGNet</x:v>
      </x:c>
      <x:c r="F7" s="26" t="str">
        <x:v>Model manifest with hashes and extraction code</x:v>
      </x:c>
      <x:c r="G7" s="26" t="str"/>
      <x:c r="H7" s="26" t="str"/>
      <x:c r="I7" s="26" t="str">
        <x:v>Open</x:v>
      </x:c>
    </x:row>
    <x:row r="8" ht="42" customHeight="1">
      <x:c r="A8" s="26" t="str">
        <x:v>ACT-007</x:v>
      </x:c>
      <x:c r="B8" s="26" t="str">
        <x:v>High</x:v>
      </x:c>
      <x:c r="C8" s="26" t="str">
        <x:v>Data tables</x:v>
      </x:c>
      <x:c r="D8" s="26" t="str">
        <x:v>Confirm asset-level rights for matminer lookup tables.</x:v>
      </x:c>
      <x:c r="E8" s="26" t="str">
        <x:v>JARVIS, Magpie, Deml, Miedema, cohesive energy</x:v>
      </x:c>
      <x:c r="F8" s="26" t="str">
        <x:v>Licences/permissions or script-only decisions</x:v>
      </x:c>
      <x:c r="G8" s="26" t="str"/>
      <x:c r="H8" s="26" t="str"/>
      <x:c r="I8" s="26" t="str">
        <x:v>Open</x:v>
      </x:c>
    </x:row>
    <x:row r="9" ht="42" customHeight="1">
      <x:c r="A9" s="26" t="str">
        <x:v>ACT-008</x:v>
      </x:c>
      <x:c r="B9" s="26" t="str">
        <x:v>Medium</x:v>
      </x:c>
      <x:c r="C9" s="26" t="str">
        <x:v>Attribution</x:v>
      </x:c>
      <x:c r="D9" s="26" t="str">
        <x:v>Create property/scale-level citations for Mendeleev imported compilations.</x:v>
      </x:c>
      <x:c r="E9" s="26" t="str">
        <x:v>Shannon, isotope, decay, scattering, electronegativity</x:v>
      </x:c>
      <x:c r="F9" s="26" t="str">
        <x:v>Feature metadata and ATTRIBUTION.md updated</x:v>
      </x:c>
      <x:c r="G9" s="26" t="str"/>
      <x:c r="H9" s="26" t="str"/>
      <x:c r="I9" s="26" t="str">
        <x:v>Open</x:v>
      </x:c>
    </x:row>
    <x:row r="10" ht="42" customHeight="1">
      <x:c r="A10" s="26" t="str">
        <x:v>ACT-009</x:v>
      </x:c>
      <x:c r="B10" s="26" t="str">
        <x:v>High</x:v>
      </x:c>
      <x:c r="C10" s="26" t="str">
        <x:v>Institutional review</x:v>
      </x:c>
      <x:c r="D10" s="26" t="str">
        <x:v>Request final IP/research-data office review of the planned public release.</x:v>
      </x:c>
      <x:c r="E10" s="26" t="str">
        <x:v>Whole repository</x:v>
      </x:c>
      <x:c r="F10" s="26" t="str">
        <x:v>Written review outcome and approved release list</x:v>
      </x:c>
      <x:c r="G10" s="26" t="str"/>
      <x:c r="H10" s="26" t="str"/>
      <x:c r="I10" s="26" t="str">
        <x:v>Open</x:v>
      </x:c>
    </x:row>
    <x:row r="11" ht="42" customHeight="1">
      <x:c r="A11" s="26" t="str">
        <x:v>ACT-010</x:v>
      </x:c>
      <x:c r="B11" s="26" t="str">
        <x:v>Medium</x:v>
      </x:c>
      <x:c r="C11" s="26" t="str">
        <x:v>Archiving</x:v>
      </x:c>
      <x:c r="D11" s="26" t="str">
        <x:v>Deposit a fixed release to Zenodo and link GitHub release/CITATION.cff.</x:v>
      </x:c>
      <x:c r="E11" s="26" t="str">
        <x:v>Whole repository</x:v>
      </x:c>
      <x:c r="F11" s="26" t="str">
        <x:v>DOI, release tag, CITATION.cff</x:v>
      </x:c>
      <x:c r="G11" s="26" t="str"/>
      <x:c r="H11" s="26" t="str"/>
      <x:c r="I11" s="26" t="str">
        <x:v>Open</x:v>
      </x:c>
    </x:row>
  </x:sheetData>
  <x:conditionalFormatting sqref="B2:B11">
    <x:cfRule type="expression" dxfId="13" priority="1">
      <x:formula>B2="Critical"</x:formula>
    </x:cfRule>
    <x:cfRule type="expression" dxfId="14" priority="2">
      <x:formula>B2="High"</x:formula>
    </x:cfRule>
  </x:conditionalFormatting>
  <x:dataValidations count="1">
    <x:dataValidation type="list" sqref="I2:I11">
      <x:formula1>"Open,In progress,Blocked,Closed"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7f80e886c54fc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</x:cols>
  <x:sheetData>
    <x:row r="1">
      <x:c r="A1" s="4" t="str">
        <x:v>Licence decision rules and publication policy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9" t="str">
        <x:v>Status</x:v>
      </x:c>
      <x:c r="B4" s="19" t="str">
        <x:v>Definition</x:v>
      </x:c>
      <x:c r="C4" s="19" t="str">
        <x:v>Default treatment</x:v>
      </x:c>
      <x:c r="D4" s="19" t="str">
        <x:v>Caution</x:v>
      </x:c>
      <x:c r="E4" s="19" t="str">
        <x:v>Colour</x:v>
      </x:c>
      <x:c r="F4" s="19" t="str">
        <x:v>Release meaning</x:v>
      </x:c>
    </x:row>
    <x:row r="5">
      <x:c r="A5" s="50" t="str">
        <x:v>GREEN</x:v>
      </x:c>
      <x:c r="B5" s="50" t="str">
        <x:v>Explicit licence/permission is located for the exact asset or a directly applicable official distribution.</x:v>
      </x:c>
      <x:c r="C5" s="50" t="str">
        <x:v>Values may be released after attribution, notices, version pinning, and evidence archiving.</x:v>
      </x:c>
      <x:c r="D5" s="50" t="str">
        <x:v>Does not remove the need for scientific citation.</x:v>
      </x:c>
      <x:c r="E5" s="50" t="str">
        <x:v>D9EAD3</x:v>
      </x:c>
      <x:c r="F5" s="50" t="str">
        <x:v>Publication allowed when obligations are implemented.</x:v>
      </x:c>
    </x:row>
    <x:row r="6">
      <x:c r="A6" s="52" t="str">
        <x:v>AMBER</x:v>
      </x:c>
      <x:c r="B6" s="52" t="str">
        <x:v>Likely usable, but exact asset/version, upstream model/table rights, or required notice is incomplete.</x:v>
      </x:c>
      <x:c r="C6" s="52" t="str">
        <x:v>Do not publish until listed evidence and obligations are closed.</x:v>
      </x:c>
      <x:c r="D6" s="52" t="str">
        <x:v>Treat as a release blocker in the final audit.</x:v>
      </x:c>
      <x:c r="E6" s="52" t="str">
        <x:v>FFF2CC</x:v>
      </x:c>
      <x:c r="F6" s="52" t="str">
        <x:v>Conditional publication.</x:v>
      </x:c>
    </x:row>
    <x:row r="7">
      <x:c r="A7" s="54" t="str">
        <x:v>HOLD</x:v>
      </x:c>
      <x:c r="B7" s="54" t="str">
        <x:v>No explicit permission/licence, ambiguous provenance, or unresolved asset-level rights.</x:v>
      </x:c>
      <x:c r="C7" s="54" t="str">
        <x:v>Exclude values or use fetch/rebuild scripts; seek written permission.</x:v>
      </x:c>
      <x:c r="D7" s="54" t="str">
        <x:v>Public accessibility alone is not permission.</x:v>
      </x:c>
      <x:c r="E7" s="54" t="str">
        <x:v>F4CCCC</x:v>
      </x:c>
      <x:c r="F7" s="54" t="str">
        <x:v>No public redistribution of values.</x:v>
      </x:c>
    </x:row>
    <x:row r="8">
      <x:c r="A8" s="58" t="str">
        <x:v>RED</x:v>
      </x:c>
      <x:c r="B8" s="58" t="str">
        <x:v>Explicit terms conflict with the planned open redistribution.</x:v>
      </x:c>
      <x:c r="C8" s="58" t="str">
        <x:v>Exclude or negotiate alternative terms.</x:v>
      </x:c>
      <x:c r="D8" s="58" t="str">
        <x:v>None identified in the current initial audit.</x:v>
      </x:c>
      <x:c r="E8" s="58" t="str">
        <x:v>CC0000</x:v>
      </x:c>
      <x:c r="F8" s="58" t="str">
        <x:v>Incompatible without relicensing.</x:v>
      </x:c>
    </x:row>
    <x:row r="10">
      <x:c r="A10" s="32" t="str">
        <x:v>Rule</x:v>
      </x:c>
      <x:c r="B10" s="32" t="str">
        <x:v>Required implementation</x:v>
      </x:c>
      <x:c r="C10" t="str"/>
      <x:c r="D10" t="str"/>
      <x:c r="E10" t="str"/>
      <x:c r="F10" t="str"/>
    </x:row>
    <x:row r="11">
      <x:c r="A11" s="24" t="str">
        <x:v>Software versus data</x:v>
      </x:c>
      <x:c r="B11" s="24" t="str">
        <x:v>A software repository licence does not automatically settle rights in every bundled third-party lookup table or pretrained model.</x:v>
      </x:c>
      <x:c r="C11" t="str"/>
      <x:c r="D11" t="str"/>
      <x:c r="E11" t="str"/>
      <x:c r="F11" t="str"/>
    </x:row>
    <x:row r="12">
      <x:c r="A12" s="24" t="str">
        <x:v>Exact asset</x:v>
      </x:c>
      <x:c r="B12" s="24" t="str">
        <x:v>A tag/commit, file or checkpoint identifier, retrieval date, URL and SHA-256 are required.</x:v>
      </x:c>
      <x:c r="C12" t="str"/>
      <x:c r="D12" t="str"/>
      <x:c r="E12" t="str"/>
      <x:c r="F12" t="str"/>
    </x:row>
    <x:row r="13">
      <x:c r="A13" s="24" t="str">
        <x:v>Attribution</x:v>
      </x:c>
      <x:c r="B13" s="24" t="str">
        <x:v>Keep both the distribution route and the scientific primary source; implement licence-specific acknowledgement language.</x:v>
      </x:c>
      <x:c r="C13" t="str"/>
      <x:c r="D13" t="str"/>
      <x:c r="E13" t="str"/>
      <x:c r="F13" t="str"/>
    </x:row>
    <x:row r="14">
      <x:c r="A14" s="24" t="str">
        <x:v>Derived values</x:v>
      </x:c>
      <x:c r="B14" s="24" t="str">
        <x:v>Publish formulas and inputs; retain upstream terms; license only the project's original selection/arrangement and code.</x:v>
      </x:c>
      <x:c r="C14" t="str"/>
      <x:c r="D14" t="str"/>
      <x:c r="E14" t="str"/>
      <x:c r="F14" t="str"/>
    </x:row>
    <x:row r="15">
      <x:c r="A15" s="24" t="str">
        <x:v>Unresolved sources</x:v>
      </x:c>
      <x:c r="B15" s="24" t="str">
        <x:v>Use code that fetches from the original provider when permitted, rather than redistributing values.</x:v>
      </x:c>
      <x:c r="C15" t="str"/>
      <x:c r="D15" t="str"/>
      <x:c r="E15" t="str"/>
      <x:c r="F15" t="str"/>
    </x:row>
    <x:row r="16">
      <x:c r="A16" s="24" t="str">
        <x:v>Legal review</x:v>
      </x:c>
      <x:c r="B16" s="24" t="str">
        <x:v>This workbook is due diligence, not legal advice; obtain institutional review before public release.</x:v>
      </x:c>
      <x:c r="C16" t="str"/>
      <x:c r="D16" t="str"/>
      <x:c r="E16" t="str"/>
      <x:c r="F16" t="str"/>
    </x:row>
    <x:row r="17">
      <x:c r="A17" s="24" t="str">
        <x:v>Versioning</x:v>
      </x:c>
      <x:c r="B17" s="24" t="str">
        <x:v>Repeat the audit for every new dataset release because licences and model terms may change.</x:v>
      </x:c>
      <x:c r="C17" t="str"/>
      <x:c r="D17" t="str"/>
      <x:c r="E17" t="str"/>
      <x:c r="F17" t="str"/>
    </x:row>
  </x:sheetData>
  <x:mergeCells>
    <x:mergeCell ref="A1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60" hidden="0" customWidth="1"/>
    <x:col min="5" max="5" width="45" hidden="0" customWidth="1"/>
    <x:col min="6" max="6" width="14" hidden="0" customWidth="1"/>
    <x:col min="7" max="7" width="28" hidden="0" customWidth="1"/>
    <x:col min="8" max="8" width="35" hidden="0" customWidth="1"/>
  </x:cols>
  <x:sheetData>
    <x:row r="1" ht="32" customHeight="1">
      <x:c r="A1" s="19" t="str">
        <x:v>Evidence ID</x:v>
      </x:c>
      <x:c r="B1" s="19" t="str">
        <x:v>Source ID</x:v>
      </x:c>
      <x:c r="C1" s="19" t="str">
        <x:v>Evidence type</x:v>
      </x:c>
      <x:c r="D1" s="19" t="str">
        <x:v>URL</x:v>
      </x:c>
      <x:c r="E1" s="19" t="str">
        <x:v>Expected local archive path</x:v>
      </x:c>
      <x:c r="F1" s="19" t="str">
        <x:v>Retrieved</x:v>
      </x:c>
      <x:c r="G1" s="19" t="str">
        <x:v>SHA-256</x:v>
      </x:c>
      <x:c r="H1" s="19" t="str">
        <x:v>Reviewer note</x:v>
      </x:c>
    </x:row>
    <x:row r="2" ht="32" customHeight="1">
      <x:c r="A2" s="26" t="str">
        <x:v>EVD-001</x:v>
      </x:c>
      <x:c r="B2" s="26" t="str">
        <x:v>SRC001</x:v>
      </x:c>
      <x:c r="C2" s="26" t="str">
        <x:v>Licence / permission evidence</x:v>
      </x:c>
      <x:c r="D2" s="26" t="str">
        <x:v>https://github.com/M3RG-IITD/MatSciBERT/blob/main/LICENSE</x:v>
      </x:c>
      <x:c r="E2" s="26" t="str">
        <x:v>LICENSES/SRC001_licence_evidence.*</x:v>
      </x:c>
      <x:c r="F2" s="26" t="str">
        <x:v>2026-07-17</x:v>
      </x:c>
      <x:c r="G2" s="26" t="str"/>
      <x:c r="H2" s="26" t="str"/>
    </x:row>
    <x:row r="3" ht="32" customHeight="1">
      <x:c r="A3" s="26" t="str">
        <x:v>EVD-002</x:v>
      </x:c>
      <x:c r="B3" s="26" t="str">
        <x:v>SRC002</x:v>
      </x:c>
      <x:c r="C3" s="26" t="str">
        <x:v>Licence / permission evidence</x:v>
      </x:c>
      <x:c r="D3" s="26" t="str">
        <x:v>https://github.com/lantunes/CrystaLLM</x:v>
      </x:c>
      <x:c r="E3" s="26" t="str">
        <x:v>LICENSES/SRC002_licence_evidence.*</x:v>
      </x:c>
      <x:c r="F3" s="26" t="str">
        <x:v>2026-07-17</x:v>
      </x:c>
      <x:c r="G3" s="26" t="str"/>
      <x:c r="H3" s="26" t="str"/>
    </x:row>
    <x:row r="4" ht="32" customHeight="1">
      <x:c r="A4" s="26" t="str">
        <x:v>EVD-003</x:v>
      </x:c>
      <x:c r="B4" s="26" t="str">
        <x:v>SRC003</x:v>
      </x:c>
      <x:c r="C4" s="26" t="str">
        <x:v>Licence / permission evidence</x:v>
      </x:c>
      <x:c r="D4" s="26" t="str">
        <x:v>https://github.com/hspark1212/chemeleon/blob/main/LICENSE</x:v>
      </x:c>
      <x:c r="E4" s="26" t="str">
        <x:v>LICENSES/SRC003_licence_evidence.*</x:v>
      </x:c>
      <x:c r="F4" s="26" t="str">
        <x:v>2026-07-17</x:v>
      </x:c>
      <x:c r="G4" s="26" t="str"/>
      <x:c r="H4" s="26" t="str"/>
    </x:row>
    <x:row r="5" ht="32" customHeight="1">
      <x:c r="A5" s="26" t="str">
        <x:v>EVD-004</x:v>
      </x:c>
      <x:c r="B5" s="26" t="str">
        <x:v>SRC004</x:v>
      </x:c>
      <x:c r="C5" s="26" t="str">
        <x:v>Licence / permission evidence</x:v>
      </x:c>
      <x:c r="D5" s="26" t="str">
        <x:v>https://github.com/usnistgov/JARVIS-DFT/blob/master/LICENSE</x:v>
      </x:c>
      <x:c r="E5" s="26" t="str">
        <x:v>LICENSES/SRC004_licence_evidence.*</x:v>
      </x:c>
      <x:c r="F5" s="26" t="str">
        <x:v>2026-07-17</x:v>
      </x:c>
      <x:c r="G5" s="26" t="str"/>
      <x:c r="H5" s="26" t="str"/>
    </x:row>
    <x:row r="6" ht="32" customHeight="1">
      <x:c r="A6" s="26" t="str">
        <x:v>EVD-005</x:v>
      </x:c>
      <x:c r="B6" s="26" t="str">
        <x:v>SRC005</x:v>
      </x:c>
      <x:c r="C6" s="26" t="str">
        <x:v>Licence / permission evidence</x:v>
      </x:c>
      <x:c r="D6" s="26" t="str">
        <x:v>https://github.com/lmmentel/mendeleev-data/blob/main/LICENSE</x:v>
      </x:c>
      <x:c r="E6" s="26" t="str">
        <x:v>LICENSES/SRC005_licence_evidence.*</x:v>
      </x:c>
      <x:c r="F6" s="26" t="str">
        <x:v>2026-07-17</x:v>
      </x:c>
      <x:c r="G6" s="26" t="str"/>
      <x:c r="H6" s="26" t="str"/>
    </x:row>
    <x:row r="7" ht="32" customHeight="1">
      <x:c r="A7" s="26" t="str">
        <x:v>EVD-006</x:v>
      </x:c>
      <x:c r="B7" s="26" t="str">
        <x:v>SRC006</x:v>
      </x:c>
      <x:c r="C7" s="26" t="str">
        <x:v>Licence / permission evidence</x:v>
      </x:c>
      <x:c r="D7" s="26" t="str">
        <x:v>https://github.com/orbital-materials/orb-models/blob/main/LICENSE</x:v>
      </x:c>
      <x:c r="E7" s="26" t="str">
        <x:v>LICENSES/SRC006_licence_evidence.*</x:v>
      </x:c>
      <x:c r="F7" s="26" t="str">
        <x:v>2026-07-17</x:v>
      </x:c>
      <x:c r="G7" s="26" t="str"/>
      <x:c r="H7" s="26" t="str"/>
    </x:row>
    <x:row r="8" ht="32" customHeight="1">
      <x:c r="A8" s="26" t="str">
        <x:v>EVD-007</x:v>
      </x:c>
      <x:c r="B8" s="26" t="str">
        <x:v>SRC007</x:v>
      </x:c>
      <x:c r="C8" s="26" t="str">
        <x:v>Licence / permission evidence</x:v>
      </x:c>
      <x:c r="D8" s="26" t="str">
        <x:v>https://github.com/lantunes/skipatom/blob/main/LICENSE</x:v>
      </x:c>
      <x:c r="E8" s="26" t="str">
        <x:v>LICENSES/SRC007_licence_evidence.*</x:v>
      </x:c>
      <x:c r="F8" s="26" t="str">
        <x:v>2026-07-17</x:v>
      </x:c>
      <x:c r="G8" s="26" t="str"/>
      <x:c r="H8" s="26" t="str"/>
    </x:row>
    <x:row r="9" ht="32" customHeight="1">
      <x:c r="A9" s="26" t="str">
        <x:v>EVD-008</x:v>
      </x:c>
      <x:c r="B9" s="26" t="str">
        <x:v>SRC008</x:v>
      </x:c>
      <x:c r="C9" s="26" t="str">
        <x:v>Licence / permission evidence</x:v>
      </x:c>
      <x:c r="D9" s="26" t="str">
        <x:v>https://github.com/materialsintelligence/matscholar</x:v>
      </x:c>
      <x:c r="E9" s="26" t="str">
        <x:v>LICENSES/SRC008_licence_evidence.*</x:v>
      </x:c>
      <x:c r="F9" s="26" t="str">
        <x:v>2026-07-17</x:v>
      </x:c>
      <x:c r="G9" s="26" t="str"/>
      <x:c r="H9" s="26" t="str"/>
    </x:row>
    <x:row r="10" ht="32" customHeight="1">
      <x:c r="A10" s="26" t="str">
        <x:v>EVD-009</x:v>
      </x:c>
      <x:c r="B10" s="26" t="str">
        <x:v>SRC009</x:v>
      </x:c>
      <x:c r="C10" s="26" t="str">
        <x:v>Licence / permission evidence</x:v>
      </x:c>
      <x:c r="D10" s="26" t="str">
        <x:v>https://github.com/materialsintelligence/mat2vec/blob/master/LICENSE</x:v>
      </x:c>
      <x:c r="E10" s="26" t="str">
        <x:v>LICENSES/SRC009_licence_evidence.*</x:v>
      </x:c>
      <x:c r="F10" s="26" t="str">
        <x:v>2026-07-17</x:v>
      </x:c>
      <x:c r="G10" s="26" t="str"/>
      <x:c r="H10" s="26" t="str"/>
    </x:row>
    <x:row r="11" ht="32" customHeight="1">
      <x:c r="A11" s="26" t="str">
        <x:v>EVD-010</x:v>
      </x:c>
      <x:c r="B11" s="26" t="str">
        <x:v>SRC010</x:v>
      </x:c>
      <x:c r="C11" s="26" t="str">
        <x:v>Licence / permission evidence</x:v>
      </x:c>
      <x:c r="D11" s="26" t="str">
        <x:v>https://mace-docs.readthedocs.io/en/latest/guide/foundation_models.html</x:v>
      </x:c>
      <x:c r="E11" s="26" t="str">
        <x:v>LICENSES/SRC010_licence_evidence.*</x:v>
      </x:c>
      <x:c r="F11" s="26" t="str">
        <x:v>2026-07-17</x:v>
      </x:c>
      <x:c r="G11" s="26" t="str"/>
      <x:c r="H11" s="26" t="str"/>
    </x:row>
    <x:row r="12" ht="32" customHeight="1">
      <x:c r="A12" s="26" t="str">
        <x:v>EVD-011</x:v>
      </x:c>
      <x:c r="B12" s="26" t="str">
        <x:v>SRC011</x:v>
      </x:c>
      <x:c r="C12" s="26" t="str">
        <x:v>Licence / permission evidence</x:v>
      </x:c>
      <x:c r="D12" s="26" t="str">
        <x:v>https://github.com/MDIL-SNU/SevenNet/blob/main/LICENSE</x:v>
      </x:c>
      <x:c r="E12" s="26" t="str">
        <x:v>LICENSES/SRC011_licence_evidence.*</x:v>
      </x:c>
      <x:c r="F12" s="26" t="str">
        <x:v>2026-07-17</x:v>
      </x:c>
      <x:c r="G12" s="26" t="str"/>
      <x:c r="H12" s="26" t="str"/>
    </x:row>
    <x:row r="13" ht="32" customHeight="1">
      <x:c r="A13" s="26" t="str">
        <x:v>EVD-012</x:v>
      </x:c>
      <x:c r="B13" s="26" t="str">
        <x:v>SRC012</x:v>
      </x:c>
      <x:c r="C13" s="26" t="str">
        <x:v>Licence / permission evidence</x:v>
      </x:c>
      <x:c r="D13" s="26" t="str">
        <x:v>https://github.com/lmmentel/mendeleev-data/blob/main/LICENSE</x:v>
      </x:c>
      <x:c r="E13" s="26" t="str">
        <x:v>LICENSES/SRC012_licence_evidence.*</x:v>
      </x:c>
      <x:c r="F13" s="26" t="str">
        <x:v>2026-07-17</x:v>
      </x:c>
      <x:c r="G13" s="26" t="str"/>
      <x:c r="H13" s="26" t="str"/>
    </x:row>
    <x:row r="14" ht="32" customHeight="1">
      <x:c r="A14" s="26" t="str">
        <x:v>EVD-013</x:v>
      </x:c>
      <x:c r="B14" s="26" t="str">
        <x:v>SRC013</x:v>
      </x:c>
      <x:c r="C14" s="26" t="str">
        <x:v>Licence / permission evidence</x:v>
      </x:c>
      <x:c r="D14" s="26" t="str">
        <x:v>https://github.com/lmmentel/mendeleev-data/blob/main/LICENSE</x:v>
      </x:c>
      <x:c r="E14" s="26" t="str">
        <x:v>LICENSES/SRC013_licence_evidence.*</x:v>
      </x:c>
      <x:c r="F14" s="26" t="str">
        <x:v>2026-07-17</x:v>
      </x:c>
      <x:c r="G14" s="26" t="str"/>
      <x:c r="H14" s="26" t="str"/>
    </x:row>
    <x:row r="15" ht="32" customHeight="1">
      <x:c r="A15" s="26" t="str">
        <x:v>EVD-014</x:v>
      </x:c>
      <x:c r="B15" s="26" t="str">
        <x:v>SRC014</x:v>
      </x:c>
      <x:c r="C15" s="26" t="str">
        <x:v>Licence / permission evidence</x:v>
      </x:c>
      <x:c r="D15" s="26" t="str">
        <x:v>https://github.com/hackingmaterials/matminer/blob/main/LICENSE</x:v>
      </x:c>
      <x:c r="E15" s="26" t="str">
        <x:v>LICENSES/SRC014_licence_evidence.*</x:v>
      </x:c>
      <x:c r="F15" s="26" t="str">
        <x:v>2026-07-17</x:v>
      </x:c>
      <x:c r="G15" s="26" t="str"/>
      <x:c r="H15" s="26" t="str"/>
    </x:row>
    <x:row r="16" ht="32" customHeight="1">
      <x:c r="A16" s="26" t="str">
        <x:v>EVD-015</x:v>
      </x:c>
      <x:c r="B16" s="26" t="str">
        <x:v>SRC015</x:v>
      </x:c>
      <x:c r="C16" s="26" t="str">
        <x:v>Licence / permission evidence</x:v>
      </x:c>
      <x:c r="D16" s="26" t="str">
        <x:v>https://github.com/txie-93/cgcnn/blob/master/LICENSE</x:v>
      </x:c>
      <x:c r="E16" s="26" t="str">
        <x:v>LICENSES/SRC015_licence_evidence.*</x:v>
      </x:c>
      <x:c r="F16" s="26" t="str">
        <x:v>2026-07-17</x:v>
      </x:c>
      <x:c r="G16" s="26" t="str"/>
      <x:c r="H16" s="26" t="str"/>
    </x:row>
    <x:row r="17" ht="32" customHeight="1">
      <x:c r="A17" s="26" t="str">
        <x:v>EVD-016</x:v>
      </x:c>
      <x:c r="B17" s="26" t="str">
        <x:v>SRC016</x:v>
      </x:c>
      <x:c r="C17" s="26" t="str">
        <x:v>Licence / permission evidence</x:v>
      </x:c>
      <x:c r="D17" s="26" t="str">
        <x:v>https://github.com/kaist-amsg/Synthesizability-stoi-CGNF</x:v>
      </x:c>
      <x:c r="E17" s="26" t="str">
        <x:v>LICENSES/SRC016_licence_evidence.*</x:v>
      </x:c>
      <x:c r="F17" s="26" t="str">
        <x:v>2026-07-17</x:v>
      </x:c>
      <x:c r="G17" s="26" t="str"/>
      <x:c r="H17" s="26" t="str"/>
    </x:row>
    <x:row r="18" ht="32" customHeight="1">
      <x:c r="A18" s="26" t="str">
        <x:v>EVD-017</x:v>
      </x:c>
      <x:c r="B18" s="26" t="str">
        <x:v>SRC017</x:v>
      </x:c>
      <x:c r="C18" s="26" t="str">
        <x:v>Licence / permission evidence</x:v>
      </x:c>
      <x:c r="D18" s="26" t="str">
        <x:v>https://github.com/lmmentel/mendeleev-data/blob/main/LICENSE</x:v>
      </x:c>
      <x:c r="E18" s="26" t="str">
        <x:v>LICENSES/SRC017_licence_evidence.*</x:v>
      </x:c>
      <x:c r="F18" s="26" t="str">
        <x:v>2026-07-17</x:v>
      </x:c>
      <x:c r="G18" s="26" t="str"/>
      <x:c r="H18" s="26" t="str"/>
    </x:row>
    <x:row r="19" ht="32" customHeight="1">
      <x:c r="A19" s="26" t="str">
        <x:v>EVD-018</x:v>
      </x:c>
      <x:c r="B19" s="26" t="str">
        <x:v>SRC018</x:v>
      </x:c>
      <x:c r="C19" s="26" t="str">
        <x:v>Licence / permission evidence</x:v>
      </x:c>
      <x:c r="D19" s="26" t="str">
        <x:v>https://github.com/lmmentel/mendeleev-data/blob/main/LICENSE</x:v>
      </x:c>
      <x:c r="E19" s="26" t="str">
        <x:v>LICENSES/SRC018_licence_evidence.*</x:v>
      </x:c>
      <x:c r="F19" s="26" t="str">
        <x:v>2026-07-17</x:v>
      </x:c>
      <x:c r="G19" s="26" t="str"/>
      <x:c r="H19" s="26" t="str"/>
    </x:row>
    <x:row r="20" ht="32" customHeight="1">
      <x:c r="A20" s="26" t="str">
        <x:v>EVD-019</x:v>
      </x:c>
      <x:c r="B20" s="26" t="str">
        <x:v>SRC019</x:v>
      </x:c>
      <x:c r="C20" s="26" t="str">
        <x:v>Licence / permission evidence</x:v>
      </x:c>
      <x:c r="D20" s="26" t="str">
        <x:v>https://github.com/xraypy/XrayDB</x:v>
      </x:c>
      <x:c r="E20" s="26" t="str">
        <x:v>LICENSES/SRC019_licence_evidence.*</x:v>
      </x:c>
      <x:c r="F20" s="26" t="str">
        <x:v>2026-07-17</x:v>
      </x:c>
      <x:c r="G20" s="26" t="str"/>
      <x:c r="H20" s="26" t="str"/>
    </x:row>
    <x:row r="21" ht="32" customHeight="1">
      <x:c r="A21" s="26" t="str">
        <x:v>EVD-020</x:v>
      </x:c>
      <x:c r="B21" s="26" t="str">
        <x:v>SRC020</x:v>
      </x:c>
      <x:c r="C21" s="26" t="str">
        <x:v>Licence / permission evidence</x:v>
      </x:c>
      <x:c r="D21" s="26" t="str">
        <x:v>https://github.com/lmmentel/mendeleev-data/blob/main/LICENSE</x:v>
      </x:c>
      <x:c r="E21" s="26" t="str">
        <x:v>LICENSES/SRC020_licence_evidence.*</x:v>
      </x:c>
      <x:c r="F21" s="26" t="str">
        <x:v>2026-07-17</x:v>
      </x:c>
      <x:c r="G21" s="26" t="str"/>
      <x:c r="H21" s="26" t="str"/>
    </x:row>
    <x:row r="22" ht="32" customHeight="1">
      <x:c r="A22" s="26" t="str">
        <x:v>EVD-021</x:v>
      </x:c>
      <x:c r="B22" s="26" t="str">
        <x:v>SRC021</x:v>
      </x:c>
      <x:c r="C22" s="26" t="str">
        <x:v>Licence / permission evidence</x:v>
      </x:c>
      <x:c r="D22" s="26" t="str">
        <x:v>https://github.com/yoshida-lab/XenonPy/blob/master/LICENSE</x:v>
      </x:c>
      <x:c r="E22" s="26" t="str">
        <x:v>LICENSES/SRC021_licence_evidence.*</x:v>
      </x:c>
      <x:c r="F22" s="26" t="str">
        <x:v>2026-07-17</x:v>
      </x:c>
      <x:c r="G22" s="26" t="str"/>
      <x:c r="H22" s="26" t="str"/>
    </x:row>
    <x:row r="23" ht="32" customHeight="1">
      <x:c r="A23" s="26" t="str">
        <x:v>EVD-022</x:v>
      </x:c>
      <x:c r="B23" s="26" t="str">
        <x:v>SRC022</x:v>
      </x:c>
      <x:c r="C23" s="26" t="str">
        <x:v>Licence / permission evidence</x:v>
      </x:c>
      <x:c r="D23" s="26" t="str">
        <x:v>https://github.com/lmmentel/mendeleev-data/blob/main/LICENSE</x:v>
      </x:c>
      <x:c r="E23" s="26" t="str">
        <x:v>LICENSES/SRC022_licence_evidence.*</x:v>
      </x:c>
      <x:c r="F23" s="26" t="str">
        <x:v>2026-07-17</x:v>
      </x:c>
      <x:c r="G23" s="26" t="str"/>
      <x:c r="H23" s="26" t="str"/>
    </x:row>
    <x:row r="24" ht="32" customHeight="1">
      <x:c r="A24" s="26" t="str">
        <x:v>EVD-023</x:v>
      </x:c>
      <x:c r="B24" s="26" t="str">
        <x:v>SRC023</x:v>
      </x:c>
      <x:c r="C24" s="26" t="str">
        <x:v>Licence / permission evidence</x:v>
      </x:c>
      <x:c r="D24" s="26" t="str">
        <x:v>https://github.com/CederGroupHub/chgnet/blob/main/LICENSE</x:v>
      </x:c>
      <x:c r="E24" s="26" t="str">
        <x:v>LICENSES/SRC023_licence_evidence.*</x:v>
      </x:c>
      <x:c r="F24" s="26" t="str">
        <x:v>2026-07-17</x:v>
      </x:c>
      <x:c r="G24" s="26" t="str"/>
      <x:c r="H24" s="26" t="str"/>
    </x:row>
    <x:row r="25" ht="32" customHeight="1">
      <x:c r="A25" s="26" t="str">
        <x:v>EVD-024</x:v>
      </x:c>
      <x:c r="B25" s="26" t="str">
        <x:v>SRC024</x:v>
      </x:c>
      <x:c r="C25" s="26" t="str">
        <x:v>Licence / permission evidence</x:v>
      </x:c>
      <x:c r="D25" s="26" t="str">
        <x:v>https://github.com/hackingmaterials/matminer/blob/main/LICENSE</x:v>
      </x:c>
      <x:c r="E25" s="26" t="str">
        <x:v>LICENSES/SRC024_licence_evidence.*</x:v>
      </x:c>
      <x:c r="F25" s="26" t="str">
        <x:v>2026-07-17</x:v>
      </x:c>
      <x:c r="G25" s="26" t="str"/>
      <x:c r="H25" s="26" t="str"/>
    </x:row>
    <x:row r="26" ht="32" customHeight="1">
      <x:c r="A26" s="26" t="str">
        <x:v>EVD-025</x:v>
      </x:c>
      <x:c r="B26" s="26" t="str">
        <x:v>SRC025</x:v>
      </x:c>
      <x:c r="C26" s="26" t="str">
        <x:v>Licence / permission evidence</x:v>
      </x:c>
      <x:c r="D26" s="26" t="str">
        <x:v>https://github.com/lmmentel/mendeleev-data/blob/main/LICENSE</x:v>
      </x:c>
      <x:c r="E26" s="26" t="str">
        <x:v>LICENSES/SRC025_licence_evidence.*</x:v>
      </x:c>
      <x:c r="F26" s="26" t="str">
        <x:v>2026-07-17</x:v>
      </x:c>
      <x:c r="G26" s="26" t="str"/>
      <x:c r="H26" s="26" t="str"/>
    </x:row>
    <x:row r="27" ht="32" customHeight="1">
      <x:c r="A27" s="26" t="str">
        <x:v>EVD-026</x:v>
      </x:c>
      <x:c r="B27" s="26" t="str">
        <x:v>SRC026</x:v>
      </x:c>
      <x:c r="C27" s="26" t="str">
        <x:v>Licence / permission evidence</x:v>
      </x:c>
      <x:c r="D27" s="26" t="str">
        <x:v>https://github.com/lmmentel/mendeleev-data/blob/main/LICENSE</x:v>
      </x:c>
      <x:c r="E27" s="26" t="str">
        <x:v>LICENSES/SRC026_licence_evidence.*</x:v>
      </x:c>
      <x:c r="F27" s="26" t="str">
        <x:v>2026-07-17</x:v>
      </x:c>
      <x:c r="G27" s="26" t="str"/>
      <x:c r="H27" s="26" t="str"/>
    </x:row>
    <x:row r="28" ht="32" customHeight="1">
      <x:c r="A28" s="26" t="str">
        <x:v>EVD-027</x:v>
      </x:c>
      <x:c r="B28" s="26" t="str">
        <x:v>SRC027</x:v>
      </x:c>
      <x:c r="C28" s="26" t="str">
        <x:v>Licence / permission evidence</x:v>
      </x:c>
      <x:c r="D28" s="26" t="str">
        <x:v>https://github.com/lmmentel/mendeleev-data/blob/main/LICENSE</x:v>
      </x:c>
      <x:c r="E28" s="26" t="str">
        <x:v>LICENSES/SRC027_licence_evidence.*</x:v>
      </x:c>
      <x:c r="F28" s="26" t="str">
        <x:v>2026-07-17</x:v>
      </x:c>
      <x:c r="G28" s="26" t="str"/>
      <x:c r="H28" s="26" t="str"/>
    </x:row>
    <x:row r="29" ht="32" customHeight="1">
      <x:c r="A29" s="26" t="str">
        <x:v>EVD-028</x:v>
      </x:c>
      <x:c r="B29" s="26" t="str">
        <x:v>SRC028</x:v>
      </x:c>
      <x:c r="C29" s="26" t="str">
        <x:v>Licence / permission evidence</x:v>
      </x:c>
      <x:c r="D29" s="26" t="str">
        <x:v>https://github.com/WMD-group/ElementEmbeddings/blob/main/LICENSE.md</x:v>
      </x:c>
      <x:c r="E29" s="26" t="str">
        <x:v>LICENSES/SRC028_licence_evidence.*</x:v>
      </x:c>
      <x:c r="F29" s="26" t="str">
        <x:v>2026-07-17</x:v>
      </x:c>
      <x:c r="G29" s="26" t="str"/>
      <x:c r="H29" s="26" t="str"/>
    </x:row>
    <x:row r="30" ht="32" customHeight="1">
      <x:c r="A30" s="26" t="str">
        <x:v>EVD-029</x:v>
      </x:c>
      <x:c r="B30" s="26" t="str">
        <x:v>SRC029</x:v>
      </x:c>
      <x:c r="C30" s="26" t="str">
        <x:v>Licence / permission evidence</x:v>
      </x:c>
      <x:c r="D30" s="26" t="str">
        <x:v>https://github.com/lmmentel/mendeleev-data/blob/main/LICENSE</x:v>
      </x:c>
      <x:c r="E30" s="26" t="str">
        <x:v>LICENSES/SRC029_licence_evidence.*</x:v>
      </x:c>
      <x:c r="F30" s="26" t="str">
        <x:v>2026-07-17</x:v>
      </x:c>
      <x:c r="G30" s="26" t="str"/>
      <x:c r="H30" s="26" t="str"/>
    </x:row>
    <x:row r="31" ht="32" customHeight="1">
      <x:c r="A31" s="26" t="str">
        <x:v>EVD-030</x:v>
      </x:c>
      <x:c r="B31" s="26" t="str">
        <x:v>SRC030</x:v>
      </x:c>
      <x:c r="C31" s="26" t="str">
        <x:v>Licence / permission evidence</x:v>
      </x:c>
      <x:c r="D31" s="26" t="str">
        <x:v>https://github.com/lmmentel/mendeleev/blob/master/LICENSE</x:v>
      </x:c>
      <x:c r="E31" s="26" t="str">
        <x:v>LICENSES/SRC030_licence_evidence.*</x:v>
      </x:c>
      <x:c r="F31" s="26" t="str">
        <x:v>2026-07-17</x:v>
      </x:c>
      <x:c r="G31" s="26" t="str"/>
      <x:c r="H31" s="26" t="str"/>
    </x:row>
    <x:row r="32" ht="32" customHeight="1">
      <x:c r="A32" s="26" t="str">
        <x:v>EVD-031</x:v>
      </x:c>
      <x:c r="B32" s="26" t="str">
        <x:v>SRC031</x:v>
      </x:c>
      <x:c r="C32" s="26" t="str">
        <x:v>Licence / permission evidence</x:v>
      </x:c>
      <x:c r="D32" s="26" t="str">
        <x:v>https://github.com/xraypy/XrayDB</x:v>
      </x:c>
      <x:c r="E32" s="26" t="str">
        <x:v>LICENSES/SRC031_licence_evidence.*</x:v>
      </x:c>
      <x:c r="F32" s="26" t="str">
        <x:v>2026-07-17</x:v>
      </x:c>
      <x:c r="G32" s="26" t="str"/>
      <x:c r="H32" s="26" t="str"/>
    </x:row>
    <x:row r="33" ht="32" customHeight="1">
      <x:c r="A33" s="26" t="str">
        <x:v>EVD-032</x:v>
      </x:c>
      <x:c r="B33" s="26" t="str">
        <x:v>SRC032</x:v>
      </x:c>
      <x:c r="C33" s="26" t="str">
        <x:v>Licence / permission evidence</x:v>
      </x:c>
      <x:c r="D33" s="26" t="str">
        <x:v>https://github.com/lmmentel/mendeleev-data/blob/main/LICENSE</x:v>
      </x:c>
      <x:c r="E33" s="26" t="str">
        <x:v>LICENSES/SRC032_licence_evidence.*</x:v>
      </x:c>
      <x:c r="F33" s="26" t="str">
        <x:v>2026-07-17</x:v>
      </x:c>
      <x:c r="G33" s="26" t="str"/>
      <x:c r="H33" s="26" t="str"/>
    </x:row>
    <x:row r="34" ht="32" customHeight="1">
      <x:c r="A34" s="26" t="str">
        <x:v>EVD-033</x:v>
      </x:c>
      <x:c r="B34" s="26" t="str">
        <x:v>SRC033</x:v>
      </x:c>
      <x:c r="C34" s="26" t="str">
        <x:v>Licence / permission evidence</x:v>
      </x:c>
      <x:c r="D34" s="26" t="str">
        <x:v>https://www.nist.gov/open/license</x:v>
      </x:c>
      <x:c r="E34" s="26" t="str">
        <x:v>LICENSES/SRC033_licence_evidence.*</x:v>
      </x:c>
      <x:c r="F34" s="26" t="str">
        <x:v>2026-07-17</x:v>
      </x:c>
      <x:c r="G34" s="26" t="str"/>
      <x:c r="H34" s="26" t="str"/>
    </x:row>
    <x:row r="35" ht="32" customHeight="1">
      <x:c r="A35" s="26" t="str">
        <x:v>EVD-034</x:v>
      </x:c>
      <x:c r="B35" s="26" t="str">
        <x:v>SRC034</x:v>
      </x:c>
      <x:c r="C35" s="26" t="str">
        <x:v>Licence / permission evidence</x:v>
      </x:c>
      <x:c r="D35" s="26" t="str">
        <x:v>https://github.com/WMD-group/ElementEmbeddings/blob/main/LICENSE.md</x:v>
      </x:c>
      <x:c r="E35" s="26" t="str">
        <x:v>LICENSES/SRC034_licence_evidence.*</x:v>
      </x:c>
      <x:c r="F35" s="26" t="str">
        <x:v>2026-07-17</x:v>
      </x:c>
      <x:c r="G35" s="26" t="str"/>
      <x:c r="H35" s="26" t="str"/>
    </x:row>
    <x:row r="36" ht="32" customHeight="1">
      <x:c r="A36" s="26" t="str">
        <x:v>EVD-035</x:v>
      </x:c>
      <x:c r="B36" s="26" t="str">
        <x:v>SRC035</x:v>
      </x:c>
      <x:c r="C36" s="26" t="str">
        <x:v>Licence / permission evidence</x:v>
      </x:c>
      <x:c r="D36" s="26" t="str">
        <x:v>https://github.com/hackingmaterials/matminer/blob/main/LICENSE</x:v>
      </x:c>
      <x:c r="E36" s="26" t="str">
        <x:v>LICENSES/SRC035_licence_evidence.*</x:v>
      </x:c>
      <x:c r="F36" s="26" t="str">
        <x:v>2026-07-17</x:v>
      </x:c>
      <x:c r="G36" s="26" t="str"/>
      <x:c r="H36" s="26" t="str"/>
    </x:row>
    <x:row r="37" ht="32" customHeight="1">
      <x:c r="A37" s="26" t="str">
        <x:v>EVD-036</x:v>
      </x:c>
      <x:c r="B37" s="26" t="str">
        <x:v>SRC036</x:v>
      </x:c>
      <x:c r="C37" s="26" t="str">
        <x:v>Licence / permission evidence</x:v>
      </x:c>
      <x:c r="D37" s="26" t="str">
        <x:v>https://github.com/lmmentel/mendeleev-data/blob/main/LICENSE</x:v>
      </x:c>
      <x:c r="E37" s="26" t="str">
        <x:v>LICENSES/SRC036_licence_evidence.*</x:v>
      </x:c>
      <x:c r="F37" s="26" t="str">
        <x:v>2026-07-17</x:v>
      </x:c>
      <x:c r="G37" s="26" t="str"/>
      <x:c r="H37" s="26" t="str"/>
    </x:row>
    <x:row r="38" ht="32" customHeight="1">
      <x:c r="A38" s="26" t="str">
        <x:v>EVD-037</x:v>
      </x:c>
      <x:c r="B38" s="26" t="str">
        <x:v>SRC037</x:v>
      </x:c>
      <x:c r="C38" s="26" t="str">
        <x:v>Licence / permission evidence</x:v>
      </x:c>
      <x:c r="D38" s="26" t="str">
        <x:v>https://github.com/lmmentel/mendeleev/blob/master/LICENSE</x:v>
      </x:c>
      <x:c r="E38" s="26" t="str">
        <x:v>LICENSES/SRC037_licence_evidence.*</x:v>
      </x:c>
      <x:c r="F38" s="26" t="str">
        <x:v>2026-07-17</x:v>
      </x:c>
      <x:c r="G38" s="26" t="str"/>
      <x:c r="H38" s="26" t="str"/>
    </x:row>
    <x:row r="39" ht="32" customHeight="1">
      <x:c r="A39" s="26" t="str">
        <x:v>EVD-038</x:v>
      </x:c>
      <x:c r="B39" s="26" t="str">
        <x:v>SRC038</x:v>
      </x:c>
      <x:c r="C39" s="26" t="str">
        <x:v>Licence / permission evidence</x:v>
      </x:c>
      <x:c r="D39" s="26" t="str">
        <x:v>https://github.com/materialyzeai/megnet/blob/master/LICENSE.md</x:v>
      </x:c>
      <x:c r="E39" s="26" t="str">
        <x:v>LICENSES/SRC038_licence_evidence.*</x:v>
      </x:c>
      <x:c r="F39" s="26" t="str">
        <x:v>2026-07-17</x:v>
      </x:c>
      <x:c r="G39" s="26" t="str"/>
      <x:c r="H39" s="26" t="str"/>
    </x:row>
    <x:row r="40" ht="32" customHeight="1">
      <x:c r="A40" s="26" t="str">
        <x:v>EVD-039</x:v>
      </x:c>
      <x:c r="B40" s="26" t="str">
        <x:v>SRC039</x:v>
      </x:c>
      <x:c r="C40" s="26" t="str">
        <x:v>Licence / permission evidence</x:v>
      </x:c>
      <x:c r="D40" s="26" t="str">
        <x:v>https://github.com/lmmentel/mendeleev-data/blob/main/LICENSE</x:v>
      </x:c>
      <x:c r="E40" s="26" t="str">
        <x:v>LICENSES/SRC039_licence_evidence.*</x:v>
      </x:c>
      <x:c r="F40" s="26" t="str">
        <x:v>2026-07-17</x:v>
      </x:c>
      <x:c r="G40" s="26" t="str"/>
      <x:c r="H40" s="26" t="str"/>
    </x:row>
    <x:row r="41" ht="32" customHeight="1">
      <x:c r="A41" s="26" t="str">
        <x:v>EVD-040</x:v>
      </x:c>
      <x:c r="B41" s="26" t="str">
        <x:v>SRC040</x:v>
      </x:c>
      <x:c r="C41" s="26" t="str">
        <x:v>Licence / permission evidence</x:v>
      </x:c>
      <x:c r="D41" s="26" t="str">
        <x:v>https://ciaaw.org/impressum.htm</x:v>
      </x:c>
      <x:c r="E41" s="26" t="str">
        <x:v>LICENSES/SRC040_licence_evidence.*</x:v>
      </x:c>
      <x:c r="F41" s="26" t="str">
        <x:v>2026-07-17</x:v>
      </x:c>
      <x:c r="G41" s="26" t="str"/>
      <x:c r="H41" s="26" t="str"/>
    </x:row>
    <x:row r="42" ht="32" customHeight="1">
      <x:c r="A42" s="26" t="str">
        <x:v>EVD-041</x:v>
      </x:c>
      <x:c r="B42" s="26" t="str">
        <x:v>SRC041</x:v>
      </x:c>
      <x:c r="C42" s="26" t="str">
        <x:v>Licence / permission evidence</x:v>
      </x:c>
      <x:c r="D42" s="26" t="str">
        <x:v>https://github.com/pkienzle/periodictable/blob/master/LICENSE.txt</x:v>
      </x:c>
      <x:c r="E42" s="26" t="str">
        <x:v>LICENSES/SRC041_licence_evidence.*</x:v>
      </x:c>
      <x:c r="F42" s="26" t="str">
        <x:v>2026-07-17</x:v>
      </x:c>
      <x:c r="G42" s="26" t="str"/>
      <x:c r="H42" s="26" t="str"/>
    </x:row>
    <x:row r="43" ht="32" customHeight="1">
      <x:c r="A43" s="26" t="str">
        <x:v>EVD-042</x:v>
      </x:c>
      <x:c r="B43" s="26" t="str">
        <x:v>SRC042</x:v>
      </x:c>
      <x:c r="C43" s="26" t="str">
        <x:v>Licence / permission evidence</x:v>
      </x:c>
      <x:c r="D43" s="26" t="str">
        <x:v>https://github.com/lmmentel/mendeleev/blob/master/LICENSE</x:v>
      </x:c>
      <x:c r="E43" s="26" t="str">
        <x:v>LICENSES/SRC042_licence_evidence.*</x:v>
      </x:c>
      <x:c r="F43" s="26" t="str">
        <x:v>2026-07-17</x:v>
      </x:c>
      <x:c r="G43" s="26" t="str"/>
      <x:c r="H43" s="26" t="str"/>
    </x:row>
    <x:row r="44" ht="32" customHeight="1">
      <x:c r="A44" s="26" t="str">
        <x:v>EVD-043</x:v>
      </x:c>
      <x:c r="B44" s="26" t="str">
        <x:v>SRC043</x:v>
      </x:c>
      <x:c r="C44" s="26" t="str">
        <x:v>Licence / permission evidence</x:v>
      </x:c>
      <x:c r="D44" s="26" t="str">
        <x:v>https://github.com/hackingmaterials/matminer/blob/main/LICENSE</x:v>
      </x:c>
      <x:c r="E44" s="26" t="str">
        <x:v>LICENSES/SRC043_licence_evidence.*</x:v>
      </x:c>
      <x:c r="F44" s="26" t="str">
        <x:v>2026-07-17</x:v>
      </x:c>
      <x:c r="G44" s="26" t="str"/>
      <x:c r="H44" s="26" t="str"/>
    </x:row>
    <x:row r="45" ht="32" customHeight="1">
      <x:c r="A45" s="26" t="str">
        <x:v>EVD-044</x:v>
      </x:c>
      <x:c r="B45" s="26" t="str">
        <x:v>SRC044</x:v>
      </x:c>
      <x:c r="C45" s="26" t="str">
        <x:v>Licence / permission evidence</x:v>
      </x:c>
      <x:c r="D45" s="26" t="str">
        <x:v>https://github.com/WMD-group/ElementEmbeddings/blob/main/LICENSE.md</x:v>
      </x:c>
      <x:c r="E45" s="26" t="str">
        <x:v>LICENSES/SRC044_licence_evidence.*</x:v>
      </x:c>
      <x:c r="F45" s="26" t="str">
        <x:v>2026-07-17</x:v>
      </x:c>
      <x:c r="G45" s="26" t="str"/>
      <x:c r="H45" s="26" t="str"/>
    </x:row>
  </x:sheetData>
  <x:pageMargins left="0.7" right="0.7" top="0.75" bottom="0.75" header="0.3" footer="0.3"/>
  <x:tableParts count="1">
    <x:tablePart xmlns:r="http://schemas.openxmlformats.org/officeDocument/2006/relationships" r:id="R4196b2ca8cc24253"/>
  </x:tableParts>
</x:worksheet>
</file>